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SY310\0.1 stroop_task\data\"/>
    </mc:Choice>
  </mc:AlternateContent>
  <xr:revisionPtr revIDLastSave="0" documentId="13_ncr:1_{7C1B48DD-C4C5-4C6E-9CB3-E1B6CAA2CF7E}" xr6:coauthVersionLast="47" xr6:coauthVersionMax="47" xr10:uidLastSave="{00000000-0000-0000-0000-000000000000}"/>
  <bookViews>
    <workbookView xWindow="-98" yWindow="-98" windowWidth="24196" windowHeight="14476" xr2:uid="{2041EDDC-A4B0-4412-9541-2E5468674BC0}"/>
  </bookViews>
  <sheets>
    <sheet name="ruhi_0.1 stroop task_2025-08-20" sheetId="1" r:id="rId1"/>
  </sheets>
  <calcPr calcId="191029"/>
</workbook>
</file>

<file path=xl/calcChain.xml><?xml version="1.0" encoding="utf-8"?>
<calcChain xmlns="http://schemas.openxmlformats.org/spreadsheetml/2006/main">
  <c r="F49" i="1" l="1"/>
  <c r="G47" i="1"/>
  <c r="G46" i="1"/>
  <c r="F47" i="1"/>
  <c r="F46" i="1"/>
</calcChain>
</file>

<file path=xl/sharedStrings.xml><?xml version="1.0" encoding="utf-8"?>
<sst xmlns="http://schemas.openxmlformats.org/spreadsheetml/2006/main" count="577" uniqueCount="61">
  <si>
    <t>word</t>
  </si>
  <si>
    <t>colour</t>
  </si>
  <si>
    <t>stimulus_condition</t>
  </si>
  <si>
    <t>correct_response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</si>
  <si>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</si>
  <si>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</si>
  <si>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</si>
  <si>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</si>
  <si>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</si>
  <si>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</si>
  <si>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</si>
  <si>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trials.thisRepN</t>
  </si>
  <si>
    <t>trials.thisTrialN</t>
  </si>
  <si>
    <t>trials.thisN</t>
  </si>
  <si>
    <t>trials.thisIndex</t>
  </si>
  <si>
    <t>thisRow.t</t>
  </si>
  <si>
    <t>notes</t>
  </si>
  <si>
    <t>instructions.started</t>
  </si>
  <si>
    <t>text_2.started</t>
  </si>
  <si>
    <t>instructions.stopped</t>
  </si>
  <si>
    <t>trial.started</t>
  </si>
  <si>
    <t>fixation.started</t>
  </si>
  <si>
    <t>fixation.stopped</t>
  </si>
  <si>
    <t>text.started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</si>
  <si>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</si>
  <si>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</si>
  <si>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</si>
  <si>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</si>
  <si>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</si>
  <si>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</si>
  <si>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thank_you.started</t>
  </si>
  <si>
    <t>text_3.started</t>
  </si>
  <si>
    <t>text_3.stopped</t>
  </si>
  <si>
    <t>thank_you.stopped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</si>
  <si>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</si>
  <si>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</si>
  <si>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</si>
  <si>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</si>
  <si>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</si>
  <si>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</si>
  <si>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</si>
  <si>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</si>
  <si>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ruhi</t>
  </si>
  <si>
    <t>2025-08-20_20h51.25.064</t>
  </si>
  <si>
    <t>0.1 stroop task</t>
  </si>
  <si>
    <t>2025.1.1</t>
  </si>
  <si>
    <t>2025-08-20 20h51.34.493400 +0530</t>
  </si>
  <si>
    <t>BLUE</t>
  </si>
  <si>
    <t>red</t>
  </si>
  <si>
    <t>incong</t>
  </si>
  <si>
    <t>r</t>
  </si>
  <si>
    <t>None</t>
  </si>
  <si>
    <t>blue</t>
  </si>
  <si>
    <t>cong</t>
  </si>
  <si>
    <t>b</t>
  </si>
  <si>
    <t>RED</t>
  </si>
  <si>
    <t>stdev</t>
  </si>
  <si>
    <t>Congruent</t>
  </si>
  <si>
    <t>Incongruent</t>
  </si>
  <si>
    <t>Mean Reaction Time</t>
  </si>
  <si>
    <t xml:space="preserve">Accuracy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</si>
</sst>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'ruhi_0.1 stroop task_2025-08-20'!$F$45</c:f>
              <c:strCache>
                <c:ptCount val="1"/>
                <c:pt idx="0">
                  <c:v>Mean Reaction Time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'ruhi_0.1 stroop task_2025-08-20'!$G$46:$G$47</c:f>
                <c:numCache>
                  <c:formatCode>General</c:formatCode>
                  <c:ptCount val="2"/>
                  <c:pt idx="0">
                    <c:v>185.04739524947701</c:v>
                  </c:pt>
                  <c:pt idx="1">
                    <c:v>200.30459913311239</c:v>
                  </c:pt>
                </c:numCache>
              </c:numRef>
            </c:plus>
            <c:minus>
              <c:numRef>
                <c:f>'ruhi_0.1 stroop task_2025-08-20'!$G$46:$G$47</c:f>
                <c:numCache>
                  <c:formatCode>General</c:formatCode>
                  <c:ptCount val="2"/>
                  <c:pt idx="0">
                    <c:v>185.04739524947701</c:v>
                  </c:pt>
                  <c:pt idx="1">
                    <c:v>200.30459913311239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'ruhi_0.1 stroop task_2025-08-20'!$E$46:$E$47</c:f>
              <c:strCache>
                <c:ptCount val="2"/>
                <c:pt idx="0">
                  <c:v>Congruent</c:v>
                </c:pt>
                <c:pt idx="1">
                  <c:v>Incongruent</c:v>
                </c:pt>
              </c:strCache>
            </c:strRef>
          </c:cat>
          <c:val>
            <c:numRef>
              <c:f>'ruhi_0.1 stroop task_2025-08-20'!$F$46:$F$47</c:f>
              <c:numCache>
                <c:formatCode>General</c:formatCode>
                <c:ptCount val="2"/>
                <c:pt idx="0">
                  <c:v>689.02610499999992</c:v>
                </c:pt>
                <c:pt idx="1">
                  <c:v>856.63618999999994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EF-469B-BD4B-659E668312D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881551"/>
        <c:axId val="1567883471"/>
      </c:barChart>
      <c:catAx>
        <c:axId val="15678815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Category of Trials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883471"/>
        <c:crosses val="autoZero"/>
        <c:auto val="1"/>
        <c:lblAlgn val="ctr"/>
        <c:lblOffset val="100"/>
        <c:noMultiLvlLbl val="0"/>
      </c:catAx>
      <c:valAx>
        <c:axId val="1567883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Reaction Time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881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373856</xdr:colOff>
      <xdr:row>43</xdr:row>
      <xdr:rowOff>61912</xdr:rowOff>
    </xdr:from>
    <xdr:to>
      <xdr:col>15</xdr:col>
      <xdr:colOff>114300</xdr:colOff>
      <xdr:row>62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9432A56-657B-24E3-910B-465748E99C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4397F-A0F1-4294-AB75-C41545EDF3EC}">
  <dimension ref="A1:AP49"/>
  <sheetViews>
    <sheetView tabSelected="1" topLeftCell="B37" workbookViewId="0">
      <selection activeCell="E45" sqref="E45:G49"/>
    </sheetView>
  </sheetViews>
  <sheetFormatPr defaultRowHeight="14.25" x14ac:dyDescent="0.45"/>
  <sheetData>
    <row r="1" spans="1:4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45">
      <c r="R2">
        <v>2.8051E-3</v>
      </c>
      <c r="S2">
        <v>7.1279000000000004E-3</v>
      </c>
      <c r="T2">
        <v>1.0003744000000001</v>
      </c>
      <c r="AI2" t="s">
        <v>42</v>
      </c>
      <c r="AJ2">
        <v>1</v>
      </c>
      <c r="AK2" t="s">
        <v>43</v>
      </c>
      <c r="AL2" t="s">
        <v>44</v>
      </c>
      <c r="AN2" t="s">
        <v>45</v>
      </c>
      <c r="AO2">
        <v>59.905062460000003</v>
      </c>
      <c r="AP2" t="s">
        <v>46</v>
      </c>
    </row>
    <row r="3" spans="1:42" x14ac:dyDescent="0.45">
      <c r="A3" t="s">
        <v>47</v>
      </c>
      <c r="B3" t="s">
        <v>52</v>
      </c>
      <c r="C3" t="s">
        <v>53</v>
      </c>
      <c r="D3" t="s">
        <v>54</v>
      </c>
      <c r="E3">
        <v>1</v>
      </c>
      <c r="F3">
        <v>1</v>
      </c>
      <c r="G3">
        <v>0</v>
      </c>
      <c r="H3" t="s">
        <v>54</v>
      </c>
      <c r="I3">
        <v>1</v>
      </c>
      <c r="J3">
        <v>1.1920508000000001</v>
      </c>
      <c r="K3" t="s">
        <v>51</v>
      </c>
      <c r="L3">
        <v>0</v>
      </c>
      <c r="M3">
        <v>1</v>
      </c>
      <c r="N3">
        <v>1</v>
      </c>
      <c r="O3">
        <v>2</v>
      </c>
      <c r="P3">
        <v>3.0674912999999999</v>
      </c>
      <c r="U3">
        <v>1.0224027</v>
      </c>
      <c r="V3">
        <v>1.026184</v>
      </c>
      <c r="W3">
        <v>1.5001956000000001</v>
      </c>
      <c r="X3">
        <v>1.5001956000000001</v>
      </c>
      <c r="Y3">
        <v>1.5001956000000001</v>
      </c>
      <c r="Z3">
        <v>3.0639213999999999</v>
      </c>
      <c r="AA3" t="s">
        <v>50</v>
      </c>
      <c r="AB3">
        <v>1</v>
      </c>
      <c r="AC3">
        <v>1.4517035</v>
      </c>
      <c r="AD3" t="s">
        <v>51</v>
      </c>
      <c r="AI3" t="s">
        <v>42</v>
      </c>
      <c r="AJ3">
        <v>1</v>
      </c>
      <c r="AK3" t="s">
        <v>43</v>
      </c>
      <c r="AL3" t="s">
        <v>44</v>
      </c>
      <c r="AN3" t="s">
        <v>45</v>
      </c>
      <c r="AO3">
        <v>59.905062460000003</v>
      </c>
      <c r="AP3" t="s">
        <v>46</v>
      </c>
    </row>
    <row r="4" spans="1:42" x14ac:dyDescent="0.45">
      <c r="A4" t="s">
        <v>55</v>
      </c>
      <c r="B4" t="s">
        <v>48</v>
      </c>
      <c r="C4" t="s">
        <v>53</v>
      </c>
      <c r="D4" t="s">
        <v>50</v>
      </c>
      <c r="E4">
        <v>2</v>
      </c>
      <c r="F4">
        <v>2</v>
      </c>
      <c r="G4">
        <v>0</v>
      </c>
      <c r="H4" t="s">
        <v>50</v>
      </c>
      <c r="I4">
        <v>1</v>
      </c>
      <c r="J4">
        <v>0.84001360000000003</v>
      </c>
      <c r="K4" t="s">
        <v>51</v>
      </c>
      <c r="L4">
        <v>0</v>
      </c>
      <c r="M4">
        <v>2</v>
      </c>
      <c r="N4">
        <v>2</v>
      </c>
      <c r="O4">
        <v>0</v>
      </c>
      <c r="P4">
        <v>4.7831415000000002</v>
      </c>
      <c r="U4">
        <v>3.0642604000000002</v>
      </c>
      <c r="V4">
        <v>3.0674912999999999</v>
      </c>
      <c r="W4">
        <v>3.5667331</v>
      </c>
      <c r="X4">
        <v>3.5667331</v>
      </c>
      <c r="Y4">
        <v>3.5667331</v>
      </c>
      <c r="Z4">
        <v>4.7672675</v>
      </c>
      <c r="AA4" t="s">
        <v>54</v>
      </c>
      <c r="AB4">
        <v>1</v>
      </c>
      <c r="AC4">
        <v>1.1920508000000001</v>
      </c>
      <c r="AD4" t="s">
        <v>51</v>
      </c>
      <c r="AI4" t="s">
        <v>42</v>
      </c>
      <c r="AJ4">
        <v>1</v>
      </c>
      <c r="AK4" t="s">
        <v>43</v>
      </c>
      <c r="AL4" t="s">
        <v>44</v>
      </c>
      <c r="AN4" t="s">
        <v>45</v>
      </c>
      <c r="AO4">
        <v>59.905062460000003</v>
      </c>
      <c r="AP4" t="s">
        <v>46</v>
      </c>
    </row>
    <row r="5" spans="1:42" x14ac:dyDescent="0.45">
      <c r="A5" t="s">
        <v>47</v>
      </c>
      <c r="B5" t="s">
        <v>52</v>
      </c>
      <c r="C5" t="s">
        <v>53</v>
      </c>
      <c r="D5" t="s">
        <v>54</v>
      </c>
      <c r="E5">
        <v>5</v>
      </c>
      <c r="F5">
        <v>1</v>
      </c>
      <c r="G5">
        <v>1</v>
      </c>
      <c r="H5" t="s">
        <v>54</v>
      </c>
      <c r="I5">
        <v>1</v>
      </c>
      <c r="J5">
        <v>0.79402859999999997</v>
      </c>
      <c r="K5" t="s">
        <v>51</v>
      </c>
      <c r="L5">
        <v>1</v>
      </c>
      <c r="M5">
        <v>1</v>
      </c>
      <c r="N5">
        <v>5</v>
      </c>
      <c r="O5">
        <v>2</v>
      </c>
      <c r="P5">
        <v>9.1833746999999999</v>
      </c>
      <c r="U5">
        <v>4.7781400999999999</v>
      </c>
      <c r="V5">
        <v>4.7831415000000002</v>
      </c>
      <c r="W5">
        <v>5.2832537999999998</v>
      </c>
      <c r="X5">
        <v>5.2832537999999998</v>
      </c>
      <c r="Y5">
        <v>5.2832537999999998</v>
      </c>
      <c r="Z5">
        <v>6.1332769000000003</v>
      </c>
      <c r="AA5" t="s">
        <v>50</v>
      </c>
      <c r="AB5">
        <v>1</v>
      </c>
      <c r="AC5">
        <v>0.84001360000000003</v>
      </c>
      <c r="AD5" t="s">
        <v>51</v>
      </c>
      <c r="AI5" t="s">
        <v>42</v>
      </c>
      <c r="AJ5">
        <v>1</v>
      </c>
      <c r="AK5" t="s">
        <v>43</v>
      </c>
      <c r="AL5" t="s">
        <v>44</v>
      </c>
      <c r="AN5" t="s">
        <v>45</v>
      </c>
      <c r="AO5">
        <v>59.905062460000003</v>
      </c>
      <c r="AP5" t="s">
        <v>46</v>
      </c>
    </row>
    <row r="6" spans="1:42" x14ac:dyDescent="0.45">
      <c r="A6" t="s">
        <v>55</v>
      </c>
      <c r="B6" t="s">
        <v>48</v>
      </c>
      <c r="C6" t="s">
        <v>53</v>
      </c>
      <c r="D6" t="s">
        <v>50</v>
      </c>
      <c r="E6">
        <v>6</v>
      </c>
      <c r="F6">
        <v>2</v>
      </c>
      <c r="G6">
        <v>1</v>
      </c>
      <c r="H6" t="s">
        <v>50</v>
      </c>
      <c r="I6">
        <v>1</v>
      </c>
      <c r="J6">
        <v>0.8554541</v>
      </c>
      <c r="K6" t="s">
        <v>51</v>
      </c>
      <c r="L6">
        <v>1</v>
      </c>
      <c r="M6">
        <v>2</v>
      </c>
      <c r="N6">
        <v>6</v>
      </c>
      <c r="O6">
        <v>0</v>
      </c>
      <c r="P6">
        <v>10.4833585</v>
      </c>
      <c r="U6">
        <v>6.1336456000000004</v>
      </c>
      <c r="V6">
        <v>6.1497085</v>
      </c>
      <c r="W6">
        <v>6.6334521999999998</v>
      </c>
      <c r="X6">
        <v>6.6334521999999998</v>
      </c>
      <c r="Y6">
        <v>6.6334521999999998</v>
      </c>
      <c r="Z6">
        <v>7.5672547999999997</v>
      </c>
      <c r="AA6" t="s">
        <v>54</v>
      </c>
      <c r="AB6">
        <v>1</v>
      </c>
      <c r="AC6">
        <v>0.93147729999999995</v>
      </c>
      <c r="AD6" t="s">
        <v>51</v>
      </c>
      <c r="AI6" t="s">
        <v>42</v>
      </c>
      <c r="AJ6">
        <v>1</v>
      </c>
      <c r="AK6" t="s">
        <v>43</v>
      </c>
      <c r="AL6" t="s">
        <v>44</v>
      </c>
      <c r="AN6" t="s">
        <v>45</v>
      </c>
      <c r="AO6">
        <v>59.905062460000003</v>
      </c>
      <c r="AP6" t="s">
        <v>46</v>
      </c>
    </row>
    <row r="7" spans="1:42" x14ac:dyDescent="0.45">
      <c r="A7" t="s">
        <v>55</v>
      </c>
      <c r="B7" t="s">
        <v>48</v>
      </c>
      <c r="C7" t="s">
        <v>53</v>
      </c>
      <c r="D7" t="s">
        <v>50</v>
      </c>
      <c r="E7">
        <v>10</v>
      </c>
      <c r="F7">
        <v>2</v>
      </c>
      <c r="G7">
        <v>2</v>
      </c>
      <c r="H7" t="s">
        <v>50</v>
      </c>
      <c r="I7">
        <v>1</v>
      </c>
      <c r="J7">
        <v>0.69059000000000004</v>
      </c>
      <c r="K7" t="s">
        <v>51</v>
      </c>
      <c r="L7">
        <v>2</v>
      </c>
      <c r="M7">
        <v>2</v>
      </c>
      <c r="N7">
        <v>10</v>
      </c>
      <c r="O7">
        <v>0</v>
      </c>
      <c r="P7">
        <v>15.8831522</v>
      </c>
      <c r="U7">
        <v>7.5717898999999997</v>
      </c>
      <c r="V7">
        <v>7.5834238000000003</v>
      </c>
      <c r="W7">
        <v>8.0667489000000003</v>
      </c>
      <c r="X7">
        <v>8.0667489000000003</v>
      </c>
      <c r="Y7">
        <v>8.0667489000000003</v>
      </c>
      <c r="Z7">
        <v>9.1671767000000006</v>
      </c>
      <c r="AA7" t="s">
        <v>50</v>
      </c>
      <c r="AB7">
        <v>1</v>
      </c>
      <c r="AC7">
        <v>1.0948068</v>
      </c>
      <c r="AD7" t="s">
        <v>51</v>
      </c>
      <c r="AI7" t="s">
        <v>42</v>
      </c>
      <c r="AJ7">
        <v>1</v>
      </c>
      <c r="AK7" t="s">
        <v>43</v>
      </c>
      <c r="AL7" t="s">
        <v>44</v>
      </c>
      <c r="AN7" t="s">
        <v>45</v>
      </c>
      <c r="AO7">
        <v>59.905062460000003</v>
      </c>
      <c r="AP7" t="s">
        <v>46</v>
      </c>
    </row>
    <row r="8" spans="1:42" x14ac:dyDescent="0.45">
      <c r="A8" t="s">
        <v>47</v>
      </c>
      <c r="B8" t="s">
        <v>52</v>
      </c>
      <c r="C8" t="s">
        <v>53</v>
      </c>
      <c r="D8" t="s">
        <v>54</v>
      </c>
      <c r="E8">
        <v>11</v>
      </c>
      <c r="F8">
        <v>3</v>
      </c>
      <c r="G8">
        <v>2</v>
      </c>
      <c r="H8" t="s">
        <v>54</v>
      </c>
      <c r="I8">
        <v>1</v>
      </c>
      <c r="J8">
        <v>0.70721489999999998</v>
      </c>
      <c r="K8" t="s">
        <v>51</v>
      </c>
      <c r="L8">
        <v>2</v>
      </c>
      <c r="M8">
        <v>3</v>
      </c>
      <c r="N8">
        <v>11</v>
      </c>
      <c r="O8">
        <v>2</v>
      </c>
      <c r="P8">
        <v>17.083204200000001</v>
      </c>
      <c r="U8">
        <v>9.1682596000000007</v>
      </c>
      <c r="V8">
        <v>9.1833746999999999</v>
      </c>
      <c r="W8">
        <v>9.6666547999999999</v>
      </c>
      <c r="X8">
        <v>9.6666547999999999</v>
      </c>
      <c r="Y8">
        <v>9.6666547999999999</v>
      </c>
      <c r="Z8">
        <v>10.466964300000001</v>
      </c>
      <c r="AA8" t="s">
        <v>54</v>
      </c>
      <c r="AB8">
        <v>1</v>
      </c>
      <c r="AC8">
        <v>0.79402859999999997</v>
      </c>
      <c r="AD8" t="s">
        <v>51</v>
      </c>
      <c r="AI8" t="s">
        <v>42</v>
      </c>
      <c r="AJ8">
        <v>1</v>
      </c>
      <c r="AK8" t="s">
        <v>43</v>
      </c>
      <c r="AL8" t="s">
        <v>44</v>
      </c>
      <c r="AN8" t="s">
        <v>45</v>
      </c>
      <c r="AO8">
        <v>59.905062460000003</v>
      </c>
      <c r="AP8" t="s">
        <v>46</v>
      </c>
    </row>
    <row r="9" spans="1:42" x14ac:dyDescent="0.45">
      <c r="A9" t="s">
        <v>47</v>
      </c>
      <c r="B9" t="s">
        <v>52</v>
      </c>
      <c r="C9" t="s">
        <v>53</v>
      </c>
      <c r="D9" t="s">
        <v>54</v>
      </c>
      <c r="E9">
        <v>13</v>
      </c>
      <c r="F9">
        <v>1</v>
      </c>
      <c r="G9">
        <v>3</v>
      </c>
      <c r="H9" t="s">
        <v>54</v>
      </c>
      <c r="I9">
        <v>1</v>
      </c>
      <c r="J9">
        <v>0.64392859999999996</v>
      </c>
      <c r="K9" t="s">
        <v>51</v>
      </c>
      <c r="L9">
        <v>3</v>
      </c>
      <c r="M9">
        <v>1</v>
      </c>
      <c r="N9">
        <v>13</v>
      </c>
      <c r="O9">
        <v>2</v>
      </c>
      <c r="P9">
        <v>19.716525900000001</v>
      </c>
      <c r="U9">
        <v>10.4699124</v>
      </c>
      <c r="V9">
        <v>10.4833585</v>
      </c>
      <c r="W9">
        <v>10.966719599999999</v>
      </c>
      <c r="X9">
        <v>10.966719599999999</v>
      </c>
      <c r="Y9">
        <v>10.966719599999999</v>
      </c>
      <c r="Z9">
        <v>11.833922899999999</v>
      </c>
      <c r="AA9" t="s">
        <v>50</v>
      </c>
      <c r="AB9">
        <v>1</v>
      </c>
      <c r="AC9">
        <v>0.8554541</v>
      </c>
      <c r="AD9" t="s">
        <v>51</v>
      </c>
      <c r="AI9" t="s">
        <v>42</v>
      </c>
      <c r="AJ9">
        <v>1</v>
      </c>
      <c r="AK9" t="s">
        <v>43</v>
      </c>
      <c r="AL9" t="s">
        <v>44</v>
      </c>
      <c r="AN9" t="s">
        <v>45</v>
      </c>
      <c r="AO9">
        <v>59.905062460000003</v>
      </c>
      <c r="AP9" t="s">
        <v>46</v>
      </c>
    </row>
    <row r="10" spans="1:42" x14ac:dyDescent="0.45">
      <c r="A10" t="s">
        <v>55</v>
      </c>
      <c r="B10" t="s">
        <v>48</v>
      </c>
      <c r="C10" t="s">
        <v>53</v>
      </c>
      <c r="D10" t="s">
        <v>50</v>
      </c>
      <c r="E10">
        <v>15</v>
      </c>
      <c r="F10">
        <v>3</v>
      </c>
      <c r="G10">
        <v>3</v>
      </c>
      <c r="H10" t="s">
        <v>50</v>
      </c>
      <c r="I10">
        <v>1</v>
      </c>
      <c r="J10">
        <v>1.0810592000000001</v>
      </c>
      <c r="K10" t="s">
        <v>51</v>
      </c>
      <c r="L10">
        <v>3</v>
      </c>
      <c r="M10">
        <v>3</v>
      </c>
      <c r="N10">
        <v>15</v>
      </c>
      <c r="O10">
        <v>0</v>
      </c>
      <c r="P10">
        <v>22.166489299999999</v>
      </c>
      <c r="U10">
        <v>11.834785699999999</v>
      </c>
      <c r="V10">
        <v>11.850183899999999</v>
      </c>
      <c r="W10">
        <v>12.333410799999999</v>
      </c>
      <c r="X10">
        <v>12.333410799999999</v>
      </c>
      <c r="Y10">
        <v>12.333410799999999</v>
      </c>
      <c r="Z10">
        <v>13.1339548</v>
      </c>
      <c r="AA10" t="s">
        <v>54</v>
      </c>
      <c r="AB10">
        <v>1</v>
      </c>
      <c r="AC10">
        <v>0.78986630000000002</v>
      </c>
      <c r="AD10" t="s">
        <v>51</v>
      </c>
      <c r="AI10" t="s">
        <v>42</v>
      </c>
      <c r="AJ10">
        <v>1</v>
      </c>
      <c r="AK10" t="s">
        <v>43</v>
      </c>
      <c r="AL10" t="s">
        <v>44</v>
      </c>
      <c r="AN10" t="s">
        <v>45</v>
      </c>
      <c r="AO10">
        <v>59.905062460000003</v>
      </c>
      <c r="AP10" t="s">
        <v>46</v>
      </c>
    </row>
    <row r="11" spans="1:42" x14ac:dyDescent="0.45">
      <c r="A11" t="s">
        <v>55</v>
      </c>
      <c r="B11" t="s">
        <v>48</v>
      </c>
      <c r="C11" t="s">
        <v>53</v>
      </c>
      <c r="D11" t="s">
        <v>50</v>
      </c>
      <c r="E11">
        <v>18</v>
      </c>
      <c r="F11">
        <v>2</v>
      </c>
      <c r="G11">
        <v>4</v>
      </c>
      <c r="H11" t="s">
        <v>50</v>
      </c>
      <c r="I11">
        <v>1</v>
      </c>
      <c r="J11">
        <v>0.65672079999999999</v>
      </c>
      <c r="K11" t="s">
        <v>51</v>
      </c>
      <c r="L11">
        <v>4</v>
      </c>
      <c r="M11">
        <v>2</v>
      </c>
      <c r="N11">
        <v>18</v>
      </c>
      <c r="O11">
        <v>0</v>
      </c>
      <c r="P11">
        <v>26.334099899999998</v>
      </c>
      <c r="U11">
        <v>13.1347918</v>
      </c>
      <c r="V11">
        <v>13.1500419</v>
      </c>
      <c r="W11">
        <v>13.633305200000001</v>
      </c>
      <c r="X11">
        <v>13.633305200000001</v>
      </c>
      <c r="Y11">
        <v>13.633305200000001</v>
      </c>
      <c r="Z11">
        <v>14.517349400000001</v>
      </c>
      <c r="AA11" t="s">
        <v>54</v>
      </c>
      <c r="AB11">
        <v>1</v>
      </c>
      <c r="AC11">
        <v>0.88139920000000005</v>
      </c>
      <c r="AD11" t="s">
        <v>51</v>
      </c>
      <c r="AI11" t="s">
        <v>42</v>
      </c>
      <c r="AJ11">
        <v>1</v>
      </c>
      <c r="AK11" t="s">
        <v>43</v>
      </c>
      <c r="AL11" t="s">
        <v>44</v>
      </c>
      <c r="AN11" t="s">
        <v>45</v>
      </c>
      <c r="AO11">
        <v>59.905062460000003</v>
      </c>
      <c r="AP11" t="s">
        <v>46</v>
      </c>
    </row>
    <row r="12" spans="1:42" x14ac:dyDescent="0.45">
      <c r="A12" t="s">
        <v>47</v>
      </c>
      <c r="B12" t="s">
        <v>52</v>
      </c>
      <c r="C12" t="s">
        <v>53</v>
      </c>
      <c r="D12" t="s">
        <v>54</v>
      </c>
      <c r="E12">
        <v>19</v>
      </c>
      <c r="F12">
        <v>3</v>
      </c>
      <c r="G12">
        <v>4</v>
      </c>
      <c r="H12" t="s">
        <v>54</v>
      </c>
      <c r="I12">
        <v>1</v>
      </c>
      <c r="J12">
        <v>0.4814561</v>
      </c>
      <c r="K12" t="s">
        <v>51</v>
      </c>
      <c r="L12">
        <v>4</v>
      </c>
      <c r="M12">
        <v>3</v>
      </c>
      <c r="N12">
        <v>19</v>
      </c>
      <c r="O12">
        <v>2</v>
      </c>
      <c r="P12">
        <v>27.516303000000001</v>
      </c>
      <c r="U12">
        <v>14.5219168</v>
      </c>
      <c r="V12">
        <v>14.533174600000001</v>
      </c>
      <c r="W12">
        <v>15.016690499999999</v>
      </c>
      <c r="X12">
        <v>15.016690499999999</v>
      </c>
      <c r="Y12">
        <v>15.016690499999999</v>
      </c>
      <c r="Z12">
        <v>15.867122999999999</v>
      </c>
      <c r="AA12" t="s">
        <v>50</v>
      </c>
      <c r="AB12">
        <v>1</v>
      </c>
      <c r="AC12">
        <v>0.84179420000000005</v>
      </c>
      <c r="AD12" t="s">
        <v>51</v>
      </c>
      <c r="AI12" t="s">
        <v>42</v>
      </c>
      <c r="AJ12">
        <v>1</v>
      </c>
      <c r="AK12" t="s">
        <v>43</v>
      </c>
      <c r="AL12" t="s">
        <v>44</v>
      </c>
      <c r="AN12" t="s">
        <v>45</v>
      </c>
      <c r="AO12">
        <v>59.905062460000003</v>
      </c>
      <c r="AP12" t="s">
        <v>46</v>
      </c>
    </row>
    <row r="13" spans="1:42" x14ac:dyDescent="0.45">
      <c r="A13" t="s">
        <v>55</v>
      </c>
      <c r="B13" t="s">
        <v>48</v>
      </c>
      <c r="C13" t="s">
        <v>53</v>
      </c>
      <c r="D13" t="s">
        <v>50</v>
      </c>
      <c r="E13">
        <v>22</v>
      </c>
      <c r="F13">
        <v>2</v>
      </c>
      <c r="G13">
        <v>5</v>
      </c>
      <c r="H13" t="s">
        <v>50</v>
      </c>
      <c r="I13">
        <v>1</v>
      </c>
      <c r="J13">
        <v>0.60359609999999997</v>
      </c>
      <c r="K13" t="s">
        <v>51</v>
      </c>
      <c r="L13">
        <v>5</v>
      </c>
      <c r="M13">
        <v>2</v>
      </c>
      <c r="N13">
        <v>22</v>
      </c>
      <c r="O13">
        <v>0</v>
      </c>
      <c r="P13">
        <v>30.7333012</v>
      </c>
      <c r="U13">
        <v>15.8712257</v>
      </c>
      <c r="V13">
        <v>15.8831522</v>
      </c>
      <c r="W13">
        <v>16.366699799999999</v>
      </c>
      <c r="X13">
        <v>16.366699799999999</v>
      </c>
      <c r="Y13">
        <v>16.366699799999999</v>
      </c>
      <c r="Z13">
        <v>17.067218199999999</v>
      </c>
      <c r="AA13" t="s">
        <v>50</v>
      </c>
      <c r="AB13">
        <v>1</v>
      </c>
      <c r="AC13">
        <v>0.69059000000000004</v>
      </c>
      <c r="AD13" t="s">
        <v>51</v>
      </c>
      <c r="AI13" t="s">
        <v>42</v>
      </c>
      <c r="AJ13">
        <v>1</v>
      </c>
      <c r="AK13" t="s">
        <v>43</v>
      </c>
      <c r="AL13" t="s">
        <v>44</v>
      </c>
      <c r="AN13" t="s">
        <v>45</v>
      </c>
      <c r="AO13">
        <v>59.905062460000003</v>
      </c>
      <c r="AP13" t="s">
        <v>46</v>
      </c>
    </row>
    <row r="14" spans="1:42" x14ac:dyDescent="0.45">
      <c r="A14" t="s">
        <v>47</v>
      </c>
      <c r="B14" t="s">
        <v>52</v>
      </c>
      <c r="C14" t="s">
        <v>53</v>
      </c>
      <c r="D14" t="s">
        <v>54</v>
      </c>
      <c r="E14">
        <v>23</v>
      </c>
      <c r="F14">
        <v>3</v>
      </c>
      <c r="G14">
        <v>5</v>
      </c>
      <c r="H14" t="s">
        <v>54</v>
      </c>
      <c r="I14">
        <v>1</v>
      </c>
      <c r="J14">
        <v>0.63227800000000001</v>
      </c>
      <c r="K14" t="s">
        <v>51</v>
      </c>
      <c r="L14">
        <v>5</v>
      </c>
      <c r="M14">
        <v>3</v>
      </c>
      <c r="N14">
        <v>23</v>
      </c>
      <c r="O14">
        <v>2</v>
      </c>
      <c r="P14">
        <v>31.849641900000002</v>
      </c>
      <c r="U14">
        <v>17.071709800000001</v>
      </c>
      <c r="V14">
        <v>17.083204200000001</v>
      </c>
      <c r="W14">
        <v>17.566835600000001</v>
      </c>
      <c r="X14">
        <v>17.566835600000001</v>
      </c>
      <c r="Y14">
        <v>17.566835600000001</v>
      </c>
      <c r="Z14">
        <v>18.2839499</v>
      </c>
      <c r="AA14" t="s">
        <v>54</v>
      </c>
      <c r="AB14">
        <v>1</v>
      </c>
      <c r="AC14">
        <v>0.70721489999999998</v>
      </c>
      <c r="AD14" t="s">
        <v>51</v>
      </c>
      <c r="AI14" t="s">
        <v>42</v>
      </c>
      <c r="AJ14">
        <v>1</v>
      </c>
      <c r="AK14" t="s">
        <v>43</v>
      </c>
      <c r="AL14" t="s">
        <v>44</v>
      </c>
      <c r="AN14" t="s">
        <v>45</v>
      </c>
      <c r="AO14">
        <v>59.905062460000003</v>
      </c>
      <c r="AP14" t="s">
        <v>46</v>
      </c>
    </row>
    <row r="15" spans="1:42" x14ac:dyDescent="0.45">
      <c r="A15" t="s">
        <v>55</v>
      </c>
      <c r="B15" t="s">
        <v>48</v>
      </c>
      <c r="C15" t="s">
        <v>53</v>
      </c>
      <c r="D15" t="s">
        <v>50</v>
      </c>
      <c r="E15">
        <v>24</v>
      </c>
      <c r="F15">
        <v>0</v>
      </c>
      <c r="G15">
        <v>6</v>
      </c>
      <c r="H15" t="s">
        <v>50</v>
      </c>
      <c r="I15">
        <v>1</v>
      </c>
      <c r="J15">
        <v>0.55413469999999998</v>
      </c>
      <c r="K15" t="s">
        <v>51</v>
      </c>
      <c r="L15">
        <v>6</v>
      </c>
      <c r="M15">
        <v>0</v>
      </c>
      <c r="N15">
        <v>24</v>
      </c>
      <c r="O15">
        <v>0</v>
      </c>
      <c r="P15">
        <v>32.983161699999997</v>
      </c>
      <c r="U15">
        <v>18.288257000000002</v>
      </c>
      <c r="V15">
        <v>18.299856900000002</v>
      </c>
      <c r="W15">
        <v>18.783297699999999</v>
      </c>
      <c r="X15">
        <v>18.783297699999999</v>
      </c>
      <c r="Y15">
        <v>18.783297699999999</v>
      </c>
      <c r="Z15">
        <v>19.700630400000001</v>
      </c>
      <c r="AA15" t="s">
        <v>54</v>
      </c>
      <c r="AB15">
        <v>1</v>
      </c>
      <c r="AC15">
        <v>0.91083950000000002</v>
      </c>
      <c r="AD15" t="s">
        <v>51</v>
      </c>
      <c r="AI15" t="s">
        <v>42</v>
      </c>
      <c r="AJ15">
        <v>1</v>
      </c>
      <c r="AK15" t="s">
        <v>43</v>
      </c>
      <c r="AL15" t="s">
        <v>44</v>
      </c>
      <c r="AN15" t="s">
        <v>45</v>
      </c>
      <c r="AO15">
        <v>59.905062460000003</v>
      </c>
      <c r="AP15" t="s">
        <v>46</v>
      </c>
    </row>
    <row r="16" spans="1:42" x14ac:dyDescent="0.45">
      <c r="A16" t="s">
        <v>47</v>
      </c>
      <c r="B16" t="s">
        <v>52</v>
      </c>
      <c r="C16" t="s">
        <v>53</v>
      </c>
      <c r="D16" t="s">
        <v>54</v>
      </c>
      <c r="E16">
        <v>25</v>
      </c>
      <c r="F16">
        <v>1</v>
      </c>
      <c r="G16">
        <v>6</v>
      </c>
      <c r="H16" t="s">
        <v>54</v>
      </c>
      <c r="I16">
        <v>1</v>
      </c>
      <c r="J16">
        <v>0.55442000000000002</v>
      </c>
      <c r="K16" t="s">
        <v>51</v>
      </c>
      <c r="L16">
        <v>6</v>
      </c>
      <c r="M16">
        <v>1</v>
      </c>
      <c r="N16">
        <v>25</v>
      </c>
      <c r="O16">
        <v>2</v>
      </c>
      <c r="P16">
        <v>34.049580200000001</v>
      </c>
      <c r="U16">
        <v>19.704097000000001</v>
      </c>
      <c r="V16">
        <v>19.716525900000001</v>
      </c>
      <c r="W16">
        <v>20.199784699999999</v>
      </c>
      <c r="X16">
        <v>20.199784699999999</v>
      </c>
      <c r="Y16">
        <v>20.199784699999999</v>
      </c>
      <c r="Z16">
        <v>20.850559400000002</v>
      </c>
      <c r="AA16" t="s">
        <v>54</v>
      </c>
      <c r="AB16">
        <v>1</v>
      </c>
      <c r="AC16">
        <v>0.64392859999999996</v>
      </c>
      <c r="AD16" t="s">
        <v>51</v>
      </c>
      <c r="AI16" t="s">
        <v>42</v>
      </c>
      <c r="AJ16">
        <v>1</v>
      </c>
      <c r="AK16" t="s">
        <v>43</v>
      </c>
      <c r="AL16" t="s">
        <v>44</v>
      </c>
      <c r="AN16" t="s">
        <v>45</v>
      </c>
      <c r="AO16">
        <v>59.905062460000003</v>
      </c>
      <c r="AP16" t="s">
        <v>46</v>
      </c>
    </row>
    <row r="17" spans="1:42" x14ac:dyDescent="0.45">
      <c r="A17" t="s">
        <v>47</v>
      </c>
      <c r="B17" t="s">
        <v>52</v>
      </c>
      <c r="C17" t="s">
        <v>53</v>
      </c>
      <c r="D17" t="s">
        <v>54</v>
      </c>
      <c r="E17">
        <v>28</v>
      </c>
      <c r="F17">
        <v>0</v>
      </c>
      <c r="G17">
        <v>7</v>
      </c>
      <c r="H17" t="s">
        <v>54</v>
      </c>
      <c r="I17">
        <v>1</v>
      </c>
      <c r="J17">
        <v>0.70087449999999996</v>
      </c>
      <c r="K17" t="s">
        <v>51</v>
      </c>
      <c r="L17">
        <v>7</v>
      </c>
      <c r="M17">
        <v>0</v>
      </c>
      <c r="N17">
        <v>28</v>
      </c>
      <c r="O17">
        <v>2</v>
      </c>
      <c r="P17">
        <v>37.9000506</v>
      </c>
      <c r="U17">
        <v>20.8514169</v>
      </c>
      <c r="V17">
        <v>20.866784599999999</v>
      </c>
      <c r="W17">
        <v>21.349701499999998</v>
      </c>
      <c r="X17">
        <v>21.349701499999998</v>
      </c>
      <c r="Y17">
        <v>21.349701499999998</v>
      </c>
      <c r="Z17">
        <v>22.1505154</v>
      </c>
      <c r="AA17" t="s">
        <v>50</v>
      </c>
      <c r="AB17">
        <v>1</v>
      </c>
      <c r="AC17">
        <v>0.78962560000000004</v>
      </c>
      <c r="AD17" t="s">
        <v>51</v>
      </c>
      <c r="AI17" t="s">
        <v>42</v>
      </c>
      <c r="AJ17">
        <v>1</v>
      </c>
      <c r="AK17" t="s">
        <v>43</v>
      </c>
      <c r="AL17" t="s">
        <v>44</v>
      </c>
      <c r="AN17" t="s">
        <v>45</v>
      </c>
      <c r="AO17">
        <v>59.905062460000003</v>
      </c>
      <c r="AP17" t="s">
        <v>46</v>
      </c>
    </row>
    <row r="18" spans="1:42" x14ac:dyDescent="0.45">
      <c r="A18" t="s">
        <v>55</v>
      </c>
      <c r="B18" t="s">
        <v>48</v>
      </c>
      <c r="C18" t="s">
        <v>53</v>
      </c>
      <c r="D18" t="s">
        <v>50</v>
      </c>
      <c r="E18">
        <v>31</v>
      </c>
      <c r="F18">
        <v>3</v>
      </c>
      <c r="G18">
        <v>7</v>
      </c>
      <c r="H18" t="s">
        <v>50</v>
      </c>
      <c r="I18">
        <v>1</v>
      </c>
      <c r="J18">
        <v>0.59163089999999996</v>
      </c>
      <c r="K18" t="s">
        <v>51</v>
      </c>
      <c r="L18">
        <v>7</v>
      </c>
      <c r="M18">
        <v>3</v>
      </c>
      <c r="N18">
        <v>31</v>
      </c>
      <c r="O18">
        <v>0</v>
      </c>
      <c r="P18">
        <v>41.833209199999999</v>
      </c>
      <c r="U18">
        <v>22.154571700000002</v>
      </c>
      <c r="V18">
        <v>22.166489299999999</v>
      </c>
      <c r="W18">
        <v>22.650058600000001</v>
      </c>
      <c r="X18">
        <v>22.650058600000001</v>
      </c>
      <c r="Y18">
        <v>22.650058600000001</v>
      </c>
      <c r="Z18">
        <v>23.733716999999999</v>
      </c>
      <c r="AA18" t="s">
        <v>50</v>
      </c>
      <c r="AB18">
        <v>1</v>
      </c>
      <c r="AC18">
        <v>1.0810592000000001</v>
      </c>
      <c r="AD18" t="s">
        <v>51</v>
      </c>
      <c r="AI18" t="s">
        <v>42</v>
      </c>
      <c r="AJ18">
        <v>1</v>
      </c>
      <c r="AK18" t="s">
        <v>43</v>
      </c>
      <c r="AL18" t="s">
        <v>44</v>
      </c>
      <c r="AN18" t="s">
        <v>45</v>
      </c>
      <c r="AO18">
        <v>59.905062460000003</v>
      </c>
      <c r="AP18" t="s">
        <v>46</v>
      </c>
    </row>
    <row r="19" spans="1:42" x14ac:dyDescent="0.45">
      <c r="A19" t="s">
        <v>47</v>
      </c>
      <c r="B19" t="s">
        <v>52</v>
      </c>
      <c r="C19" t="s">
        <v>53</v>
      </c>
      <c r="D19" t="s">
        <v>54</v>
      </c>
      <c r="E19">
        <v>33</v>
      </c>
      <c r="F19">
        <v>1</v>
      </c>
      <c r="G19">
        <v>8</v>
      </c>
      <c r="H19" t="s">
        <v>54</v>
      </c>
      <c r="I19">
        <v>1</v>
      </c>
      <c r="J19">
        <v>0.53469909999999998</v>
      </c>
      <c r="K19" t="s">
        <v>51</v>
      </c>
      <c r="L19">
        <v>8</v>
      </c>
      <c r="M19">
        <v>1</v>
      </c>
      <c r="N19">
        <v>33</v>
      </c>
      <c r="O19">
        <v>2</v>
      </c>
      <c r="P19">
        <v>44.032946500000001</v>
      </c>
      <c r="U19">
        <v>23.738427999999999</v>
      </c>
      <c r="V19">
        <v>23.749688899999999</v>
      </c>
      <c r="W19">
        <v>24.2329531</v>
      </c>
      <c r="X19">
        <v>24.2329531</v>
      </c>
      <c r="Y19">
        <v>24.2329531</v>
      </c>
      <c r="Z19">
        <v>25.0835081</v>
      </c>
      <c r="AA19" t="s">
        <v>50</v>
      </c>
      <c r="AB19">
        <v>1</v>
      </c>
      <c r="AC19">
        <v>0.84761839999999999</v>
      </c>
      <c r="AD19" t="s">
        <v>51</v>
      </c>
      <c r="AI19" t="s">
        <v>42</v>
      </c>
      <c r="AJ19">
        <v>1</v>
      </c>
      <c r="AK19" t="s">
        <v>43</v>
      </c>
      <c r="AL19" t="s">
        <v>44</v>
      </c>
      <c r="AN19" t="s">
        <v>45</v>
      </c>
      <c r="AO19">
        <v>59.905062460000003</v>
      </c>
      <c r="AP19" t="s">
        <v>46</v>
      </c>
    </row>
    <row r="20" spans="1:42" x14ac:dyDescent="0.45">
      <c r="A20" t="s">
        <v>55</v>
      </c>
      <c r="B20" t="s">
        <v>48</v>
      </c>
      <c r="C20" t="s">
        <v>53</v>
      </c>
      <c r="D20" t="s">
        <v>50</v>
      </c>
      <c r="E20">
        <v>34</v>
      </c>
      <c r="F20">
        <v>2</v>
      </c>
      <c r="G20">
        <v>8</v>
      </c>
      <c r="H20" t="s">
        <v>50</v>
      </c>
      <c r="I20">
        <v>1</v>
      </c>
      <c r="J20">
        <v>0.54678439999999995</v>
      </c>
      <c r="K20" t="s">
        <v>51</v>
      </c>
      <c r="L20">
        <v>8</v>
      </c>
      <c r="M20">
        <v>2</v>
      </c>
      <c r="N20">
        <v>34</v>
      </c>
      <c r="O20">
        <v>0</v>
      </c>
      <c r="P20">
        <v>45.083164799999999</v>
      </c>
      <c r="U20">
        <v>25.087207899999999</v>
      </c>
      <c r="V20">
        <v>25.0997898</v>
      </c>
      <c r="W20">
        <v>25.583295400000001</v>
      </c>
      <c r="X20">
        <v>25.583295400000001</v>
      </c>
      <c r="Y20">
        <v>25.583295400000001</v>
      </c>
      <c r="Z20">
        <v>26.317229000000001</v>
      </c>
      <c r="AA20" t="s">
        <v>54</v>
      </c>
      <c r="AB20">
        <v>1</v>
      </c>
      <c r="AC20">
        <v>0.72159589999999996</v>
      </c>
      <c r="AD20" t="s">
        <v>51</v>
      </c>
      <c r="AI20" t="s">
        <v>42</v>
      </c>
      <c r="AJ20">
        <v>1</v>
      </c>
      <c r="AK20" t="s">
        <v>43</v>
      </c>
      <c r="AL20" t="s">
        <v>44</v>
      </c>
      <c r="AN20" t="s">
        <v>45</v>
      </c>
      <c r="AO20">
        <v>59.905062460000003</v>
      </c>
      <c r="AP20" t="s">
        <v>46</v>
      </c>
    </row>
    <row r="21" spans="1:42" x14ac:dyDescent="0.45">
      <c r="A21" t="s">
        <v>47</v>
      </c>
      <c r="B21" t="s">
        <v>52</v>
      </c>
      <c r="C21" t="s">
        <v>53</v>
      </c>
      <c r="D21" t="s">
        <v>54</v>
      </c>
      <c r="E21">
        <v>36</v>
      </c>
      <c r="F21">
        <v>0</v>
      </c>
      <c r="G21">
        <v>9</v>
      </c>
      <c r="H21" t="s">
        <v>54</v>
      </c>
      <c r="I21">
        <v>1</v>
      </c>
      <c r="J21">
        <v>0.59107160000000003</v>
      </c>
      <c r="K21" t="s">
        <v>51</v>
      </c>
      <c r="L21">
        <v>9</v>
      </c>
      <c r="M21">
        <v>0</v>
      </c>
      <c r="N21">
        <v>36</v>
      </c>
      <c r="O21">
        <v>2</v>
      </c>
      <c r="P21">
        <v>47.549914999999999</v>
      </c>
      <c r="U21">
        <v>26.3180725</v>
      </c>
      <c r="V21">
        <v>26.334099899999998</v>
      </c>
      <c r="W21">
        <v>26.833118599999999</v>
      </c>
      <c r="X21">
        <v>26.833118599999999</v>
      </c>
      <c r="Y21">
        <v>26.833118599999999</v>
      </c>
      <c r="Z21">
        <v>27.500577499999999</v>
      </c>
      <c r="AA21" t="s">
        <v>50</v>
      </c>
      <c r="AB21">
        <v>1</v>
      </c>
      <c r="AC21">
        <v>0.65672079999999999</v>
      </c>
      <c r="AD21" t="s">
        <v>51</v>
      </c>
      <c r="AI21" t="s">
        <v>42</v>
      </c>
      <c r="AJ21">
        <v>1</v>
      </c>
      <c r="AK21" t="s">
        <v>43</v>
      </c>
      <c r="AL21" t="s">
        <v>44</v>
      </c>
      <c r="AN21" t="s">
        <v>45</v>
      </c>
      <c r="AO21">
        <v>59.905062460000003</v>
      </c>
      <c r="AP21" t="s">
        <v>46</v>
      </c>
    </row>
    <row r="22" spans="1:42" x14ac:dyDescent="0.45">
      <c r="A22" t="s">
        <v>55</v>
      </c>
      <c r="B22" t="s">
        <v>48</v>
      </c>
      <c r="C22" t="s">
        <v>53</v>
      </c>
      <c r="D22" t="s">
        <v>50</v>
      </c>
      <c r="E22">
        <v>39</v>
      </c>
      <c r="F22">
        <v>3</v>
      </c>
      <c r="G22">
        <v>9</v>
      </c>
      <c r="H22" t="s">
        <v>50</v>
      </c>
      <c r="I22">
        <v>1</v>
      </c>
      <c r="J22">
        <v>0.52851610000000004</v>
      </c>
      <c r="K22" t="s">
        <v>51</v>
      </c>
      <c r="L22">
        <v>9</v>
      </c>
      <c r="M22">
        <v>3</v>
      </c>
      <c r="N22">
        <v>39</v>
      </c>
      <c r="O22">
        <v>0</v>
      </c>
      <c r="P22">
        <v>51.399682800000001</v>
      </c>
      <c r="U22">
        <v>27.504484600000001</v>
      </c>
      <c r="V22">
        <v>27.516303000000001</v>
      </c>
      <c r="W22">
        <v>27.999686199999999</v>
      </c>
      <c r="X22">
        <v>27.999686199999999</v>
      </c>
      <c r="Y22">
        <v>27.999686199999999</v>
      </c>
      <c r="Z22">
        <v>28.483695300000001</v>
      </c>
      <c r="AA22" t="s">
        <v>54</v>
      </c>
      <c r="AB22">
        <v>1</v>
      </c>
      <c r="AC22">
        <v>0.4814561</v>
      </c>
      <c r="AD22" t="s">
        <v>51</v>
      </c>
      <c r="AI22" t="s">
        <v>42</v>
      </c>
      <c r="AJ22">
        <v>1</v>
      </c>
      <c r="AK22" t="s">
        <v>43</v>
      </c>
      <c r="AL22" t="s">
        <v>44</v>
      </c>
      <c r="AN22" t="s">
        <v>45</v>
      </c>
      <c r="AO22">
        <v>59.905062460000003</v>
      </c>
      <c r="AP22" t="s">
        <v>46</v>
      </c>
    </row>
    <row r="23" spans="1:42" x14ac:dyDescent="0.45">
      <c r="A23" t="s">
        <v>47</v>
      </c>
      <c r="B23" t="s">
        <v>48</v>
      </c>
      <c r="C23" t="s">
        <v>49</v>
      </c>
      <c r="D23" t="s">
        <v>50</v>
      </c>
      <c r="E23">
        <v>0</v>
      </c>
      <c r="F23">
        <v>0</v>
      </c>
      <c r="G23">
        <v>0</v>
      </c>
      <c r="H23" t="s">
        <v>50</v>
      </c>
      <c r="I23">
        <v>1</v>
      </c>
      <c r="J23">
        <v>1.4517035</v>
      </c>
      <c r="K23" t="s">
        <v>51</v>
      </c>
      <c r="L23">
        <v>0</v>
      </c>
      <c r="M23">
        <v>0</v>
      </c>
      <c r="N23">
        <v>0</v>
      </c>
      <c r="O23">
        <v>3</v>
      </c>
      <c r="P23">
        <v>1.026184</v>
      </c>
      <c r="U23">
        <v>28.4845392</v>
      </c>
      <c r="V23">
        <v>28.4999754</v>
      </c>
      <c r="W23">
        <v>28.983445</v>
      </c>
      <c r="X23">
        <v>28.983445</v>
      </c>
      <c r="Y23">
        <v>28.983445</v>
      </c>
      <c r="Z23">
        <v>29.633714099999999</v>
      </c>
      <c r="AA23" t="s">
        <v>50</v>
      </c>
      <c r="AB23">
        <v>1</v>
      </c>
      <c r="AC23">
        <v>0.63795550000000001</v>
      </c>
      <c r="AD23" t="s">
        <v>51</v>
      </c>
      <c r="AI23" t="s">
        <v>42</v>
      </c>
      <c r="AJ23">
        <v>1</v>
      </c>
      <c r="AK23" t="s">
        <v>43</v>
      </c>
      <c r="AL23" t="s">
        <v>44</v>
      </c>
      <c r="AN23" t="s">
        <v>45</v>
      </c>
      <c r="AO23">
        <v>59.905062460000003</v>
      </c>
      <c r="AP23" t="s">
        <v>46</v>
      </c>
    </row>
    <row r="24" spans="1:42" x14ac:dyDescent="0.45">
      <c r="A24" t="s">
        <v>55</v>
      </c>
      <c r="B24" t="s">
        <v>52</v>
      </c>
      <c r="C24" t="s">
        <v>49</v>
      </c>
      <c r="D24" t="s">
        <v>54</v>
      </c>
      <c r="E24">
        <v>3</v>
      </c>
      <c r="F24">
        <v>3</v>
      </c>
      <c r="G24">
        <v>0</v>
      </c>
      <c r="H24" t="s">
        <v>54</v>
      </c>
      <c r="I24">
        <v>1</v>
      </c>
      <c r="J24">
        <v>0.93147729999999995</v>
      </c>
      <c r="K24" t="s">
        <v>51</v>
      </c>
      <c r="L24">
        <v>0</v>
      </c>
      <c r="M24">
        <v>3</v>
      </c>
      <c r="N24">
        <v>3</v>
      </c>
      <c r="O24">
        <v>1</v>
      </c>
      <c r="P24">
        <v>6.1497085</v>
      </c>
      <c r="U24">
        <v>29.6377259</v>
      </c>
      <c r="V24">
        <v>29.649742499999999</v>
      </c>
      <c r="W24">
        <v>30.1334357</v>
      </c>
      <c r="X24">
        <v>30.1334357</v>
      </c>
      <c r="Y24">
        <v>30.1334357</v>
      </c>
      <c r="Z24">
        <v>30.717251900000001</v>
      </c>
      <c r="AA24" t="s">
        <v>54</v>
      </c>
      <c r="AB24">
        <v>1</v>
      </c>
      <c r="AC24">
        <v>0.56928480000000004</v>
      </c>
      <c r="AD24" t="s">
        <v>51</v>
      </c>
      <c r="AI24" t="s">
        <v>42</v>
      </c>
      <c r="AJ24">
        <v>1</v>
      </c>
      <c r="AK24" t="s">
        <v>43</v>
      </c>
      <c r="AL24" t="s">
        <v>44</v>
      </c>
      <c r="AN24" t="s">
        <v>45</v>
      </c>
      <c r="AO24">
        <v>59.905062460000003</v>
      </c>
      <c r="AP24" t="s">
        <v>46</v>
      </c>
    </row>
    <row r="25" spans="1:42" x14ac:dyDescent="0.45">
      <c r="A25" t="s">
        <v>47</v>
      </c>
      <c r="B25" t="s">
        <v>48</v>
      </c>
      <c r="C25" t="s">
        <v>49</v>
      </c>
      <c r="D25" t="s">
        <v>50</v>
      </c>
      <c r="E25">
        <v>4</v>
      </c>
      <c r="F25">
        <v>0</v>
      </c>
      <c r="G25">
        <v>1</v>
      </c>
      <c r="H25" t="s">
        <v>50</v>
      </c>
      <c r="I25">
        <v>1</v>
      </c>
      <c r="J25">
        <v>1.0948068</v>
      </c>
      <c r="K25" t="s">
        <v>51</v>
      </c>
      <c r="L25">
        <v>1</v>
      </c>
      <c r="M25">
        <v>0</v>
      </c>
      <c r="N25">
        <v>4</v>
      </c>
      <c r="O25">
        <v>3</v>
      </c>
      <c r="P25">
        <v>7.5834238000000003</v>
      </c>
      <c r="U25">
        <v>30.718125499999999</v>
      </c>
      <c r="V25">
        <v>30.7333012</v>
      </c>
      <c r="W25">
        <v>31.216547200000001</v>
      </c>
      <c r="X25">
        <v>31.216547200000001</v>
      </c>
      <c r="Y25">
        <v>31.216547200000001</v>
      </c>
      <c r="Z25">
        <v>31.8336571</v>
      </c>
      <c r="AA25" t="s">
        <v>50</v>
      </c>
      <c r="AB25">
        <v>1</v>
      </c>
      <c r="AC25">
        <v>0.60359609999999997</v>
      </c>
      <c r="AD25" t="s">
        <v>51</v>
      </c>
      <c r="AI25" t="s">
        <v>42</v>
      </c>
      <c r="AJ25">
        <v>1</v>
      </c>
      <c r="AK25" t="s">
        <v>43</v>
      </c>
      <c r="AL25" t="s">
        <v>44</v>
      </c>
      <c r="AN25" t="s">
        <v>45</v>
      </c>
      <c r="AO25">
        <v>59.905062460000003</v>
      </c>
      <c r="AP25" t="s">
        <v>46</v>
      </c>
    </row>
    <row r="26" spans="1:42" x14ac:dyDescent="0.45">
      <c r="A26" t="s">
        <v>55</v>
      </c>
      <c r="B26" t="s">
        <v>52</v>
      </c>
      <c r="C26" t="s">
        <v>49</v>
      </c>
      <c r="D26" t="s">
        <v>54</v>
      </c>
      <c r="E26">
        <v>7</v>
      </c>
      <c r="F26">
        <v>3</v>
      </c>
      <c r="G26">
        <v>1</v>
      </c>
      <c r="H26" t="s">
        <v>54</v>
      </c>
      <c r="I26">
        <v>1</v>
      </c>
      <c r="J26">
        <v>0.78986630000000002</v>
      </c>
      <c r="K26" t="s">
        <v>51</v>
      </c>
      <c r="L26">
        <v>1</v>
      </c>
      <c r="M26">
        <v>3</v>
      </c>
      <c r="N26">
        <v>7</v>
      </c>
      <c r="O26">
        <v>1</v>
      </c>
      <c r="P26">
        <v>11.850183899999999</v>
      </c>
      <c r="U26">
        <v>31.836778200000001</v>
      </c>
      <c r="V26">
        <v>31.849641900000002</v>
      </c>
      <c r="W26">
        <v>32.333232500000001</v>
      </c>
      <c r="X26">
        <v>32.333232500000001</v>
      </c>
      <c r="Y26">
        <v>32.333232500000001</v>
      </c>
      <c r="Z26">
        <v>32.967233100000001</v>
      </c>
      <c r="AA26" t="s">
        <v>54</v>
      </c>
      <c r="AB26">
        <v>1</v>
      </c>
      <c r="AC26">
        <v>0.63227800000000001</v>
      </c>
      <c r="AD26" t="s">
        <v>51</v>
      </c>
      <c r="AI26" t="s">
        <v>42</v>
      </c>
      <c r="AJ26">
        <v>1</v>
      </c>
      <c r="AK26" t="s">
        <v>43</v>
      </c>
      <c r="AL26" t="s">
        <v>44</v>
      </c>
      <c r="AN26" t="s">
        <v>45</v>
      </c>
      <c r="AO26">
        <v>59.905062460000003</v>
      </c>
      <c r="AP26" t="s">
        <v>46</v>
      </c>
    </row>
    <row r="27" spans="1:42" x14ac:dyDescent="0.45">
      <c r="A27" t="s">
        <v>55</v>
      </c>
      <c r="B27" t="s">
        <v>52</v>
      </c>
      <c r="C27" t="s">
        <v>49</v>
      </c>
      <c r="D27" t="s">
        <v>54</v>
      </c>
      <c r="E27">
        <v>8</v>
      </c>
      <c r="F27">
        <v>0</v>
      </c>
      <c r="G27">
        <v>2</v>
      </c>
      <c r="H27" t="s">
        <v>54</v>
      </c>
      <c r="I27">
        <v>1</v>
      </c>
      <c r="J27">
        <v>0.88139920000000005</v>
      </c>
      <c r="K27" t="s">
        <v>51</v>
      </c>
      <c r="L27">
        <v>2</v>
      </c>
      <c r="M27">
        <v>0</v>
      </c>
      <c r="N27">
        <v>8</v>
      </c>
      <c r="O27">
        <v>1</v>
      </c>
      <c r="P27">
        <v>13.1500419</v>
      </c>
      <c r="U27">
        <v>32.971071000000002</v>
      </c>
      <c r="V27">
        <v>32.983161699999997</v>
      </c>
      <c r="W27">
        <v>33.4666043</v>
      </c>
      <c r="X27">
        <v>33.4666043</v>
      </c>
      <c r="Y27">
        <v>33.4666043</v>
      </c>
      <c r="Z27">
        <v>34.0337368</v>
      </c>
      <c r="AA27" t="s">
        <v>50</v>
      </c>
      <c r="AB27">
        <v>1</v>
      </c>
      <c r="AC27">
        <v>0.55413469999999998</v>
      </c>
      <c r="AD27" t="s">
        <v>51</v>
      </c>
      <c r="AI27" t="s">
        <v>42</v>
      </c>
      <c r="AJ27">
        <v>1</v>
      </c>
      <c r="AK27" t="s">
        <v>43</v>
      </c>
      <c r="AL27" t="s">
        <v>44</v>
      </c>
      <c r="AN27" t="s">
        <v>45</v>
      </c>
      <c r="AO27">
        <v>59.905062460000003</v>
      </c>
      <c r="AP27" t="s">
        <v>46</v>
      </c>
    </row>
    <row r="28" spans="1:42" x14ac:dyDescent="0.45">
      <c r="A28" t="s">
        <v>47</v>
      </c>
      <c r="B28" t="s">
        <v>48</v>
      </c>
      <c r="C28" t="s">
        <v>49</v>
      </c>
      <c r="D28" t="s">
        <v>50</v>
      </c>
      <c r="E28">
        <v>9</v>
      </c>
      <c r="F28">
        <v>1</v>
      </c>
      <c r="G28">
        <v>2</v>
      </c>
      <c r="H28" t="s">
        <v>50</v>
      </c>
      <c r="I28">
        <v>1</v>
      </c>
      <c r="J28">
        <v>0.84179420000000005</v>
      </c>
      <c r="K28" t="s">
        <v>51</v>
      </c>
      <c r="L28">
        <v>2</v>
      </c>
      <c r="M28">
        <v>1</v>
      </c>
      <c r="N28">
        <v>9</v>
      </c>
      <c r="O28">
        <v>3</v>
      </c>
      <c r="P28">
        <v>14.533174600000001</v>
      </c>
      <c r="U28">
        <v>34.038952299999998</v>
      </c>
      <c r="V28">
        <v>34.049580200000001</v>
      </c>
      <c r="W28">
        <v>34.533241199999999</v>
      </c>
      <c r="X28">
        <v>34.533241199999999</v>
      </c>
      <c r="Y28">
        <v>34.533241199999999</v>
      </c>
      <c r="Z28">
        <v>35.1004115</v>
      </c>
      <c r="AA28" t="s">
        <v>54</v>
      </c>
      <c r="AB28">
        <v>1</v>
      </c>
      <c r="AC28">
        <v>0.55442000000000002</v>
      </c>
      <c r="AD28" t="s">
        <v>51</v>
      </c>
      <c r="AI28" t="s">
        <v>42</v>
      </c>
      <c r="AJ28">
        <v>1</v>
      </c>
      <c r="AK28" t="s">
        <v>43</v>
      </c>
      <c r="AL28" t="s">
        <v>44</v>
      </c>
      <c r="AN28" t="s">
        <v>45</v>
      </c>
      <c r="AO28">
        <v>59.905062460000003</v>
      </c>
      <c r="AP28" t="s">
        <v>46</v>
      </c>
    </row>
    <row r="29" spans="1:42" x14ac:dyDescent="0.45">
      <c r="A29" t="s">
        <v>55</v>
      </c>
      <c r="B29" t="s">
        <v>52</v>
      </c>
      <c r="C29" t="s">
        <v>49</v>
      </c>
      <c r="D29" t="s">
        <v>54</v>
      </c>
      <c r="E29">
        <v>12</v>
      </c>
      <c r="F29">
        <v>0</v>
      </c>
      <c r="G29">
        <v>3</v>
      </c>
      <c r="H29" t="s">
        <v>54</v>
      </c>
      <c r="I29">
        <v>1</v>
      </c>
      <c r="J29">
        <v>0.91083950000000002</v>
      </c>
      <c r="K29" t="s">
        <v>51</v>
      </c>
      <c r="L29">
        <v>3</v>
      </c>
      <c r="M29">
        <v>0</v>
      </c>
      <c r="N29">
        <v>12</v>
      </c>
      <c r="O29">
        <v>1</v>
      </c>
      <c r="P29">
        <v>18.299856900000002</v>
      </c>
      <c r="U29">
        <v>35.104505799999998</v>
      </c>
      <c r="V29">
        <v>35.1167923</v>
      </c>
      <c r="W29">
        <v>35.599741299999998</v>
      </c>
      <c r="X29">
        <v>35.599741299999998</v>
      </c>
      <c r="Y29">
        <v>35.599741299999998</v>
      </c>
      <c r="Z29">
        <v>36.550347199999997</v>
      </c>
      <c r="AA29" t="s">
        <v>54</v>
      </c>
      <c r="AB29">
        <v>1</v>
      </c>
      <c r="AC29">
        <v>0.94069860000000005</v>
      </c>
      <c r="AD29" t="s">
        <v>51</v>
      </c>
      <c r="AI29" t="s">
        <v>42</v>
      </c>
      <c r="AJ29">
        <v>1</v>
      </c>
      <c r="AK29" t="s">
        <v>43</v>
      </c>
      <c r="AL29" t="s">
        <v>44</v>
      </c>
      <c r="AN29" t="s">
        <v>45</v>
      </c>
      <c r="AO29">
        <v>59.905062460000003</v>
      </c>
      <c r="AP29" t="s">
        <v>46</v>
      </c>
    </row>
    <row r="30" spans="1:42" x14ac:dyDescent="0.45">
      <c r="A30" t="s">
        <v>47</v>
      </c>
      <c r="B30" t="s">
        <v>48</v>
      </c>
      <c r="C30" t="s">
        <v>49</v>
      </c>
      <c r="D30" t="s">
        <v>50</v>
      </c>
      <c r="E30">
        <v>14</v>
      </c>
      <c r="F30">
        <v>2</v>
      </c>
      <c r="G30">
        <v>3</v>
      </c>
      <c r="H30" t="s">
        <v>50</v>
      </c>
      <c r="I30">
        <v>1</v>
      </c>
      <c r="J30">
        <v>0.78962560000000004</v>
      </c>
      <c r="K30" t="s">
        <v>51</v>
      </c>
      <c r="L30">
        <v>3</v>
      </c>
      <c r="M30">
        <v>2</v>
      </c>
      <c r="N30">
        <v>14</v>
      </c>
      <c r="O30">
        <v>3</v>
      </c>
      <c r="P30">
        <v>20.866784599999999</v>
      </c>
      <c r="U30">
        <v>36.555129399999998</v>
      </c>
      <c r="V30">
        <v>36.56644</v>
      </c>
      <c r="W30">
        <v>37.049773899999998</v>
      </c>
      <c r="X30">
        <v>37.049773899999998</v>
      </c>
      <c r="Y30">
        <v>37.049773899999998</v>
      </c>
      <c r="Z30">
        <v>37.883786600000001</v>
      </c>
      <c r="AA30" t="s">
        <v>50</v>
      </c>
      <c r="AB30">
        <v>1</v>
      </c>
      <c r="AC30">
        <v>0.82131750000000003</v>
      </c>
      <c r="AD30" t="s">
        <v>51</v>
      </c>
      <c r="AI30" t="s">
        <v>42</v>
      </c>
      <c r="AJ30">
        <v>1</v>
      </c>
      <c r="AK30" t="s">
        <v>43</v>
      </c>
      <c r="AL30" t="s">
        <v>44</v>
      </c>
      <c r="AN30" t="s">
        <v>45</v>
      </c>
      <c r="AO30">
        <v>59.905062460000003</v>
      </c>
      <c r="AP30" t="s">
        <v>46</v>
      </c>
    </row>
    <row r="31" spans="1:42" x14ac:dyDescent="0.45">
      <c r="A31" t="s">
        <v>47</v>
      </c>
      <c r="B31" t="s">
        <v>48</v>
      </c>
      <c r="C31" t="s">
        <v>49</v>
      </c>
      <c r="D31" t="s">
        <v>50</v>
      </c>
      <c r="E31">
        <v>16</v>
      </c>
      <c r="F31">
        <v>0</v>
      </c>
      <c r="G31">
        <v>4</v>
      </c>
      <c r="H31" t="s">
        <v>50</v>
      </c>
      <c r="I31">
        <v>1</v>
      </c>
      <c r="J31">
        <v>0.84761839999999999</v>
      </c>
      <c r="K31" t="s">
        <v>51</v>
      </c>
      <c r="L31">
        <v>4</v>
      </c>
      <c r="M31">
        <v>0</v>
      </c>
      <c r="N31">
        <v>16</v>
      </c>
      <c r="O31">
        <v>3</v>
      </c>
      <c r="P31">
        <v>23.749688899999999</v>
      </c>
      <c r="U31">
        <v>37.884625999999997</v>
      </c>
      <c r="V31">
        <v>37.9000506</v>
      </c>
      <c r="W31">
        <v>38.383288399999998</v>
      </c>
      <c r="X31">
        <v>38.383288399999998</v>
      </c>
      <c r="Y31">
        <v>38.383288399999998</v>
      </c>
      <c r="Z31">
        <v>39.100388500000001</v>
      </c>
      <c r="AA31" t="s">
        <v>54</v>
      </c>
      <c r="AB31">
        <v>1</v>
      </c>
      <c r="AC31">
        <v>0.70087449999999996</v>
      </c>
      <c r="AD31" t="s">
        <v>51</v>
      </c>
      <c r="AI31" t="s">
        <v>42</v>
      </c>
      <c r="AJ31">
        <v>1</v>
      </c>
      <c r="AK31" t="s">
        <v>43</v>
      </c>
      <c r="AL31" t="s">
        <v>44</v>
      </c>
      <c r="AN31" t="s">
        <v>45</v>
      </c>
      <c r="AO31">
        <v>59.905062460000003</v>
      </c>
      <c r="AP31" t="s">
        <v>46</v>
      </c>
    </row>
    <row r="32" spans="1:42" x14ac:dyDescent="0.45">
      <c r="A32" t="s">
        <v>55</v>
      </c>
      <c r="B32" t="s">
        <v>52</v>
      </c>
      <c r="C32" t="s">
        <v>49</v>
      </c>
      <c r="D32" t="s">
        <v>54</v>
      </c>
      <c r="E32">
        <v>17</v>
      </c>
      <c r="F32">
        <v>1</v>
      </c>
      <c r="G32">
        <v>4</v>
      </c>
      <c r="H32" t="s">
        <v>54</v>
      </c>
      <c r="I32">
        <v>1</v>
      </c>
      <c r="J32">
        <v>0.72159589999999996</v>
      </c>
      <c r="K32" t="s">
        <v>51</v>
      </c>
      <c r="L32">
        <v>4</v>
      </c>
      <c r="M32">
        <v>1</v>
      </c>
      <c r="N32">
        <v>17</v>
      </c>
      <c r="O32">
        <v>1</v>
      </c>
      <c r="P32">
        <v>25.0997898</v>
      </c>
      <c r="U32">
        <v>39.101178699999998</v>
      </c>
      <c r="V32">
        <v>39.116635700000003</v>
      </c>
      <c r="W32">
        <v>39.599929799999998</v>
      </c>
      <c r="X32">
        <v>39.599929799999998</v>
      </c>
      <c r="Y32">
        <v>39.599929799999998</v>
      </c>
      <c r="Z32">
        <v>40.4003364</v>
      </c>
      <c r="AA32" t="s">
        <v>50</v>
      </c>
      <c r="AB32">
        <v>1</v>
      </c>
      <c r="AC32">
        <v>0.78392819999999996</v>
      </c>
      <c r="AD32" t="s">
        <v>51</v>
      </c>
      <c r="AI32" t="s">
        <v>42</v>
      </c>
      <c r="AJ32">
        <v>1</v>
      </c>
      <c r="AK32" t="s">
        <v>43</v>
      </c>
      <c r="AL32" t="s">
        <v>44</v>
      </c>
      <c r="AN32" t="s">
        <v>45</v>
      </c>
      <c r="AO32">
        <v>59.905062460000003</v>
      </c>
      <c r="AP32" t="s">
        <v>46</v>
      </c>
    </row>
    <row r="33" spans="1:42" x14ac:dyDescent="0.45">
      <c r="A33" t="s">
        <v>47</v>
      </c>
      <c r="B33" t="s">
        <v>48</v>
      </c>
      <c r="C33" t="s">
        <v>49</v>
      </c>
      <c r="D33" t="s">
        <v>50</v>
      </c>
      <c r="E33">
        <v>20</v>
      </c>
      <c r="F33">
        <v>0</v>
      </c>
      <c r="G33">
        <v>5</v>
      </c>
      <c r="H33" t="s">
        <v>50</v>
      </c>
      <c r="I33">
        <v>1</v>
      </c>
      <c r="J33">
        <v>0.63795550000000001</v>
      </c>
      <c r="K33" t="s">
        <v>51</v>
      </c>
      <c r="L33">
        <v>5</v>
      </c>
      <c r="M33">
        <v>0</v>
      </c>
      <c r="N33">
        <v>20</v>
      </c>
      <c r="O33">
        <v>3</v>
      </c>
      <c r="P33">
        <v>28.4999754</v>
      </c>
      <c r="U33">
        <v>40.404127500000001</v>
      </c>
      <c r="V33">
        <v>40.416677999999997</v>
      </c>
      <c r="W33">
        <v>40.8998858</v>
      </c>
      <c r="X33">
        <v>40.8998858</v>
      </c>
      <c r="Y33">
        <v>40.8998858</v>
      </c>
      <c r="Z33">
        <v>41.817273100000001</v>
      </c>
      <c r="AA33" t="s">
        <v>54</v>
      </c>
      <c r="AB33">
        <v>1</v>
      </c>
      <c r="AC33">
        <v>0.91566840000000005</v>
      </c>
      <c r="AD33" t="s">
        <v>51</v>
      </c>
      <c r="AI33" t="s">
        <v>42</v>
      </c>
      <c r="AJ33">
        <v>1</v>
      </c>
      <c r="AK33" t="s">
        <v>43</v>
      </c>
      <c r="AL33" t="s">
        <v>44</v>
      </c>
      <c r="AN33" t="s">
        <v>45</v>
      </c>
      <c r="AO33">
        <v>59.905062460000003</v>
      </c>
      <c r="AP33" t="s">
        <v>46</v>
      </c>
    </row>
    <row r="34" spans="1:42" x14ac:dyDescent="0.45">
      <c r="A34" t="s">
        <v>55</v>
      </c>
      <c r="B34" t="s">
        <v>52</v>
      </c>
      <c r="C34" t="s">
        <v>49</v>
      </c>
      <c r="D34" t="s">
        <v>54</v>
      </c>
      <c r="E34">
        <v>21</v>
      </c>
      <c r="F34">
        <v>1</v>
      </c>
      <c r="G34">
        <v>5</v>
      </c>
      <c r="H34" t="s">
        <v>54</v>
      </c>
      <c r="I34">
        <v>1</v>
      </c>
      <c r="J34">
        <v>0.56928480000000004</v>
      </c>
      <c r="K34" t="s">
        <v>51</v>
      </c>
      <c r="L34">
        <v>5</v>
      </c>
      <c r="M34">
        <v>1</v>
      </c>
      <c r="N34">
        <v>21</v>
      </c>
      <c r="O34">
        <v>1</v>
      </c>
      <c r="P34">
        <v>29.649742499999999</v>
      </c>
      <c r="U34">
        <v>41.818097899999998</v>
      </c>
      <c r="V34">
        <v>41.833209199999999</v>
      </c>
      <c r="W34">
        <v>42.316602899999999</v>
      </c>
      <c r="X34">
        <v>42.316602899999999</v>
      </c>
      <c r="Y34">
        <v>42.316602899999999</v>
      </c>
      <c r="Z34">
        <v>42.916682700000003</v>
      </c>
      <c r="AA34" t="s">
        <v>50</v>
      </c>
      <c r="AB34">
        <v>1</v>
      </c>
      <c r="AC34">
        <v>0.59163089999999996</v>
      </c>
      <c r="AD34" t="s">
        <v>51</v>
      </c>
      <c r="AI34" t="s">
        <v>42</v>
      </c>
      <c r="AJ34">
        <v>1</v>
      </c>
      <c r="AK34" t="s">
        <v>43</v>
      </c>
      <c r="AL34" t="s">
        <v>44</v>
      </c>
      <c r="AN34" t="s">
        <v>45</v>
      </c>
      <c r="AO34">
        <v>59.905062460000003</v>
      </c>
      <c r="AP34" t="s">
        <v>46</v>
      </c>
    </row>
    <row r="35" spans="1:42" x14ac:dyDescent="0.45">
      <c r="A35" t="s">
        <v>55</v>
      </c>
      <c r="B35" t="s">
        <v>52</v>
      </c>
      <c r="C35" t="s">
        <v>49</v>
      </c>
      <c r="D35" t="s">
        <v>54</v>
      </c>
      <c r="E35">
        <v>26</v>
      </c>
      <c r="F35">
        <v>2</v>
      </c>
      <c r="G35">
        <v>6</v>
      </c>
      <c r="H35" t="s">
        <v>54</v>
      </c>
      <c r="I35">
        <v>1</v>
      </c>
      <c r="J35">
        <v>0.94069860000000005</v>
      </c>
      <c r="K35" t="s">
        <v>51</v>
      </c>
      <c r="L35">
        <v>6</v>
      </c>
      <c r="M35">
        <v>2</v>
      </c>
      <c r="N35">
        <v>26</v>
      </c>
      <c r="O35">
        <v>1</v>
      </c>
      <c r="P35">
        <v>35.1167923</v>
      </c>
      <c r="U35">
        <v>42.917142400000003</v>
      </c>
      <c r="V35">
        <v>42.932945099999998</v>
      </c>
      <c r="W35">
        <v>43.416351900000002</v>
      </c>
      <c r="X35">
        <v>43.416351900000002</v>
      </c>
      <c r="Y35">
        <v>43.416351900000002</v>
      </c>
      <c r="Z35">
        <v>44.0171536</v>
      </c>
      <c r="AA35" t="s">
        <v>54</v>
      </c>
      <c r="AB35">
        <v>1</v>
      </c>
      <c r="AC35">
        <v>0.59305770000000002</v>
      </c>
      <c r="AD35" t="s">
        <v>51</v>
      </c>
      <c r="AI35" t="s">
        <v>42</v>
      </c>
      <c r="AJ35">
        <v>1</v>
      </c>
      <c r="AK35" t="s">
        <v>43</v>
      </c>
      <c r="AL35" t="s">
        <v>44</v>
      </c>
      <c r="AN35" t="s">
        <v>45</v>
      </c>
      <c r="AO35">
        <v>59.905062460000003</v>
      </c>
      <c r="AP35" t="s">
        <v>46</v>
      </c>
    </row>
    <row r="36" spans="1:42" x14ac:dyDescent="0.45">
      <c r="A36" t="s">
        <v>47</v>
      </c>
      <c r="B36" t="s">
        <v>48</v>
      </c>
      <c r="C36" t="s">
        <v>49</v>
      </c>
      <c r="D36" t="s">
        <v>50</v>
      </c>
      <c r="E36">
        <v>27</v>
      </c>
      <c r="F36">
        <v>3</v>
      </c>
      <c r="G36">
        <v>6</v>
      </c>
      <c r="H36" t="s">
        <v>50</v>
      </c>
      <c r="I36">
        <v>1</v>
      </c>
      <c r="J36">
        <v>0.82131750000000003</v>
      </c>
      <c r="K36" t="s">
        <v>51</v>
      </c>
      <c r="L36">
        <v>6</v>
      </c>
      <c r="M36">
        <v>3</v>
      </c>
      <c r="N36">
        <v>27</v>
      </c>
      <c r="O36">
        <v>3</v>
      </c>
      <c r="P36">
        <v>36.56644</v>
      </c>
      <c r="U36">
        <v>44.022201699999997</v>
      </c>
      <c r="V36">
        <v>44.032946500000001</v>
      </c>
      <c r="W36">
        <v>44.516689</v>
      </c>
      <c r="X36">
        <v>44.516689</v>
      </c>
      <c r="Y36">
        <v>44.516689</v>
      </c>
      <c r="Z36">
        <v>45.066670600000002</v>
      </c>
      <c r="AA36" t="s">
        <v>54</v>
      </c>
      <c r="AB36">
        <v>1</v>
      </c>
      <c r="AC36">
        <v>0.53469909999999998</v>
      </c>
      <c r="AD36" t="s">
        <v>51</v>
      </c>
      <c r="AI36" t="s">
        <v>42</v>
      </c>
      <c r="AJ36">
        <v>1</v>
      </c>
      <c r="AK36" t="s">
        <v>43</v>
      </c>
      <c r="AL36" t="s">
        <v>44</v>
      </c>
      <c r="AN36" t="s">
        <v>45</v>
      </c>
      <c r="AO36">
        <v>59.905062460000003</v>
      </c>
      <c r="AP36" t="s">
        <v>46</v>
      </c>
    </row>
    <row r="37" spans="1:42" x14ac:dyDescent="0.45">
      <c r="A37" t="s">
        <v>47</v>
      </c>
      <c r="B37" t="s">
        <v>48</v>
      </c>
      <c r="C37" t="s">
        <v>49</v>
      </c>
      <c r="D37" t="s">
        <v>50</v>
      </c>
      <c r="E37">
        <v>29</v>
      </c>
      <c r="F37">
        <v>1</v>
      </c>
      <c r="G37">
        <v>7</v>
      </c>
      <c r="H37" t="s">
        <v>50</v>
      </c>
      <c r="I37">
        <v>1</v>
      </c>
      <c r="J37">
        <v>0.78392819999999996</v>
      </c>
      <c r="K37" t="s">
        <v>51</v>
      </c>
      <c r="L37">
        <v>7</v>
      </c>
      <c r="M37">
        <v>1</v>
      </c>
      <c r="N37">
        <v>29</v>
      </c>
      <c r="O37">
        <v>3</v>
      </c>
      <c r="P37">
        <v>39.116635700000003</v>
      </c>
      <c r="U37">
        <v>45.069049399999997</v>
      </c>
      <c r="V37">
        <v>45.083164799999999</v>
      </c>
      <c r="W37">
        <v>45.566516</v>
      </c>
      <c r="X37">
        <v>45.566516</v>
      </c>
      <c r="Y37">
        <v>45.566516</v>
      </c>
      <c r="Z37">
        <v>46.117110599999997</v>
      </c>
      <c r="AA37" t="s">
        <v>50</v>
      </c>
      <c r="AB37">
        <v>1</v>
      </c>
      <c r="AC37">
        <v>0.54678439999999995</v>
      </c>
      <c r="AD37" t="s">
        <v>51</v>
      </c>
      <c r="AI37" t="s">
        <v>42</v>
      </c>
      <c r="AJ37">
        <v>1</v>
      </c>
      <c r="AK37" t="s">
        <v>43</v>
      </c>
      <c r="AL37" t="s">
        <v>44</v>
      </c>
      <c r="AN37" t="s">
        <v>45</v>
      </c>
      <c r="AO37">
        <v>59.905062460000003</v>
      </c>
      <c r="AP37" t="s">
        <v>46</v>
      </c>
    </row>
    <row r="38" spans="1:42" x14ac:dyDescent="0.45">
      <c r="A38" t="s">
        <v>55</v>
      </c>
      <c r="B38" t="s">
        <v>52</v>
      </c>
      <c r="C38" t="s">
        <v>49</v>
      </c>
      <c r="D38" t="s">
        <v>54</v>
      </c>
      <c r="E38">
        <v>30</v>
      </c>
      <c r="F38">
        <v>2</v>
      </c>
      <c r="G38">
        <v>7</v>
      </c>
      <c r="H38" t="s">
        <v>54</v>
      </c>
      <c r="I38">
        <v>1</v>
      </c>
      <c r="J38">
        <v>0.91566840000000005</v>
      </c>
      <c r="K38" t="s">
        <v>51</v>
      </c>
      <c r="L38">
        <v>7</v>
      </c>
      <c r="M38">
        <v>2</v>
      </c>
      <c r="N38">
        <v>30</v>
      </c>
      <c r="O38">
        <v>1</v>
      </c>
      <c r="P38">
        <v>40.416677999999997</v>
      </c>
      <c r="U38">
        <v>46.122044099999997</v>
      </c>
      <c r="V38">
        <v>46.133027499999997</v>
      </c>
      <c r="W38">
        <v>46.616564199999999</v>
      </c>
      <c r="X38">
        <v>46.616564199999999</v>
      </c>
      <c r="Y38">
        <v>46.616564199999999</v>
      </c>
      <c r="Z38">
        <v>47.533748600000003</v>
      </c>
      <c r="AA38" t="s">
        <v>50</v>
      </c>
      <c r="AB38">
        <v>1</v>
      </c>
      <c r="AC38">
        <v>0.90241970000000005</v>
      </c>
      <c r="AD38" t="s">
        <v>51</v>
      </c>
      <c r="AI38" t="s">
        <v>42</v>
      </c>
      <c r="AJ38">
        <v>1</v>
      </c>
      <c r="AK38" t="s">
        <v>43</v>
      </c>
      <c r="AL38" t="s">
        <v>44</v>
      </c>
      <c r="AN38" t="s">
        <v>45</v>
      </c>
      <c r="AO38">
        <v>59.905062460000003</v>
      </c>
      <c r="AP38" t="s">
        <v>46</v>
      </c>
    </row>
    <row r="39" spans="1:42" x14ac:dyDescent="0.45">
      <c r="A39" t="s">
        <v>55</v>
      </c>
      <c r="B39" t="s">
        <v>52</v>
      </c>
      <c r="C39" t="s">
        <v>49</v>
      </c>
      <c r="D39" t="s">
        <v>54</v>
      </c>
      <c r="E39">
        <v>32</v>
      </c>
      <c r="F39">
        <v>0</v>
      </c>
      <c r="G39">
        <v>8</v>
      </c>
      <c r="H39" t="s">
        <v>54</v>
      </c>
      <c r="I39">
        <v>1</v>
      </c>
      <c r="J39">
        <v>0.59305770000000002</v>
      </c>
      <c r="K39" t="s">
        <v>51</v>
      </c>
      <c r="L39">
        <v>8</v>
      </c>
      <c r="M39">
        <v>0</v>
      </c>
      <c r="N39">
        <v>32</v>
      </c>
      <c r="O39">
        <v>1</v>
      </c>
      <c r="P39">
        <v>42.932945099999998</v>
      </c>
      <c r="U39">
        <v>47.534612600000003</v>
      </c>
      <c r="V39">
        <v>47.549914999999999</v>
      </c>
      <c r="W39">
        <v>48.049484900000003</v>
      </c>
      <c r="X39">
        <v>48.049484900000003</v>
      </c>
      <c r="Y39">
        <v>48.049484900000003</v>
      </c>
      <c r="Z39">
        <v>48.650452700000002</v>
      </c>
      <c r="AA39" t="s">
        <v>54</v>
      </c>
      <c r="AB39">
        <v>1</v>
      </c>
      <c r="AC39">
        <v>0.59107160000000003</v>
      </c>
      <c r="AD39" t="s">
        <v>51</v>
      </c>
      <c r="AI39" t="s">
        <v>42</v>
      </c>
      <c r="AJ39">
        <v>1</v>
      </c>
      <c r="AK39" t="s">
        <v>43</v>
      </c>
      <c r="AL39" t="s">
        <v>44</v>
      </c>
      <c r="AN39" t="s">
        <v>45</v>
      </c>
      <c r="AO39">
        <v>59.905062460000003</v>
      </c>
      <c r="AP39" t="s">
        <v>46</v>
      </c>
    </row>
    <row r="40" spans="1:42" x14ac:dyDescent="0.45">
      <c r="A40" t="s">
        <v>47</v>
      </c>
      <c r="B40" t="s">
        <v>48</v>
      </c>
      <c r="C40" t="s">
        <v>49</v>
      </c>
      <c r="D40" t="s">
        <v>50</v>
      </c>
      <c r="E40">
        <v>35</v>
      </c>
      <c r="F40">
        <v>3</v>
      </c>
      <c r="G40">
        <v>8</v>
      </c>
      <c r="H40" t="s">
        <v>50</v>
      </c>
      <c r="I40">
        <v>1</v>
      </c>
      <c r="J40">
        <v>0.90241970000000005</v>
      </c>
      <c r="K40" t="s">
        <v>51</v>
      </c>
      <c r="L40">
        <v>8</v>
      </c>
      <c r="M40">
        <v>3</v>
      </c>
      <c r="N40">
        <v>35</v>
      </c>
      <c r="O40">
        <v>3</v>
      </c>
      <c r="P40">
        <v>46.133027499999997</v>
      </c>
      <c r="U40">
        <v>48.651307699999997</v>
      </c>
      <c r="V40">
        <v>48.666504699999997</v>
      </c>
      <c r="W40">
        <v>49.149882499999997</v>
      </c>
      <c r="X40">
        <v>49.149882499999997</v>
      </c>
      <c r="Y40">
        <v>49.149882499999997</v>
      </c>
      <c r="Z40">
        <v>50.2336107</v>
      </c>
      <c r="AA40" t="s">
        <v>50</v>
      </c>
      <c r="AB40">
        <v>1</v>
      </c>
      <c r="AC40">
        <v>1.0726770999999999</v>
      </c>
      <c r="AD40" t="s">
        <v>51</v>
      </c>
      <c r="AI40" t="s">
        <v>42</v>
      </c>
      <c r="AJ40">
        <v>1</v>
      </c>
      <c r="AK40" t="s">
        <v>43</v>
      </c>
      <c r="AL40" t="s">
        <v>44</v>
      </c>
      <c r="AN40" t="s">
        <v>45</v>
      </c>
      <c r="AO40">
        <v>59.905062460000003</v>
      </c>
      <c r="AP40" t="s">
        <v>46</v>
      </c>
    </row>
    <row r="41" spans="1:42" x14ac:dyDescent="0.45">
      <c r="A41" t="s">
        <v>47</v>
      </c>
      <c r="B41" t="s">
        <v>48</v>
      </c>
      <c r="C41" t="s">
        <v>49</v>
      </c>
      <c r="D41" t="s">
        <v>50</v>
      </c>
      <c r="E41">
        <v>37</v>
      </c>
      <c r="F41">
        <v>1</v>
      </c>
      <c r="G41">
        <v>9</v>
      </c>
      <c r="H41" t="s">
        <v>50</v>
      </c>
      <c r="I41">
        <v>1</v>
      </c>
      <c r="J41">
        <v>1.0726770999999999</v>
      </c>
      <c r="K41" t="s">
        <v>51</v>
      </c>
      <c r="L41">
        <v>9</v>
      </c>
      <c r="M41">
        <v>1</v>
      </c>
      <c r="N41">
        <v>37</v>
      </c>
      <c r="O41">
        <v>3</v>
      </c>
      <c r="P41">
        <v>48.666504699999997</v>
      </c>
      <c r="U41">
        <v>50.237765000000003</v>
      </c>
      <c r="V41">
        <v>50.249568099999998</v>
      </c>
      <c r="W41">
        <v>50.733213499999998</v>
      </c>
      <c r="X41">
        <v>50.733213499999998</v>
      </c>
      <c r="Y41">
        <v>50.733213499999998</v>
      </c>
      <c r="Z41">
        <v>51.383734799999999</v>
      </c>
      <c r="AA41" t="s">
        <v>54</v>
      </c>
      <c r="AB41">
        <v>1</v>
      </c>
      <c r="AC41">
        <v>0.63498960000000004</v>
      </c>
      <c r="AD41" t="s">
        <v>51</v>
      </c>
      <c r="AI41" t="s">
        <v>42</v>
      </c>
      <c r="AJ41">
        <v>1</v>
      </c>
      <c r="AK41" t="s">
        <v>43</v>
      </c>
      <c r="AL41" t="s">
        <v>44</v>
      </c>
      <c r="AN41" t="s">
        <v>45</v>
      </c>
      <c r="AO41">
        <v>59.905062460000003</v>
      </c>
      <c r="AP41" t="s">
        <v>46</v>
      </c>
    </row>
    <row r="42" spans="1:42" x14ac:dyDescent="0.45">
      <c r="A42" t="s">
        <v>55</v>
      </c>
      <c r="B42" t="s">
        <v>52</v>
      </c>
      <c r="C42" t="s">
        <v>49</v>
      </c>
      <c r="D42" t="s">
        <v>54</v>
      </c>
      <c r="E42">
        <v>38</v>
      </c>
      <c r="F42">
        <v>2</v>
      </c>
      <c r="G42">
        <v>9</v>
      </c>
      <c r="H42" t="s">
        <v>54</v>
      </c>
      <c r="I42">
        <v>1</v>
      </c>
      <c r="J42">
        <v>0.63498960000000004</v>
      </c>
      <c r="K42" t="s">
        <v>51</v>
      </c>
      <c r="L42">
        <v>9</v>
      </c>
      <c r="M42">
        <v>2</v>
      </c>
      <c r="N42">
        <v>38</v>
      </c>
      <c r="O42">
        <v>1</v>
      </c>
      <c r="P42">
        <v>50.249568099999998</v>
      </c>
      <c r="U42">
        <v>51.384516599999998</v>
      </c>
      <c r="V42">
        <v>51.399682800000001</v>
      </c>
      <c r="W42">
        <v>51.8831317</v>
      </c>
      <c r="X42">
        <v>51.8831317</v>
      </c>
      <c r="Y42">
        <v>51.8831317</v>
      </c>
      <c r="Z42">
        <v>52.417147300000003</v>
      </c>
      <c r="AA42" t="s">
        <v>50</v>
      </c>
      <c r="AB42">
        <v>1</v>
      </c>
      <c r="AC42">
        <v>0.52851610000000004</v>
      </c>
      <c r="AD42" t="s">
        <v>51</v>
      </c>
      <c r="AI42" t="s">
        <v>42</v>
      </c>
      <c r="AJ42">
        <v>1</v>
      </c>
      <c r="AK42" t="s">
        <v>43</v>
      </c>
      <c r="AL42" t="s">
        <v>44</v>
      </c>
      <c r="AN42" t="s">
        <v>45</v>
      </c>
      <c r="AO42">
        <v>59.905062460000003</v>
      </c>
      <c r="AP42" t="s">
        <v>46</v>
      </c>
    </row>
    <row r="43" spans="1:42" x14ac:dyDescent="0.45">
      <c r="AE43">
        <v>52.417342900000001</v>
      </c>
      <c r="AF43">
        <v>52.433061299999999</v>
      </c>
      <c r="AG43">
        <v>53.432847099999996</v>
      </c>
      <c r="AH43">
        <v>53.416583500000002</v>
      </c>
      <c r="AI43" t="s">
        <v>42</v>
      </c>
      <c r="AJ43">
        <v>1</v>
      </c>
      <c r="AK43" t="s">
        <v>43</v>
      </c>
      <c r="AL43" t="s">
        <v>44</v>
      </c>
      <c r="AN43" t="s">
        <v>45</v>
      </c>
      <c r="AO43">
        <v>59.905062460000003</v>
      </c>
      <c r="AP43" t="s">
        <v>46</v>
      </c>
    </row>
    <row r="45" spans="1:42" x14ac:dyDescent="0.45">
      <c r="F45" t="s">
        <v>59</v>
      </c>
      <c r="G45" t="s">
        <v>56</v>
      </c>
    </row>
    <row r="46" spans="1:42" x14ac:dyDescent="0.45">
      <c r="E46" t="s">
        <v>57</v>
      </c>
      <c r="F46">
        <f>AVERAGE(J3:J22)*1000</f>
        <v>689.02610499999992</v>
      </c>
      <c r="G46">
        <f>_xlfn.STDEV.S(J3:J22)*1000</f>
        <v>185.04739524947701</v>
      </c>
    </row>
    <row r="47" spans="1:42" x14ac:dyDescent="0.45">
      <c r="E47" t="s">
        <v>58</v>
      </c>
      <c r="F47">
        <f>AVERAGE(J23:J42)*1000</f>
        <v>856.63618999999994</v>
      </c>
      <c r="G47">
        <f>_xlfn.STDEV.S(J23:J42)*1000</f>
        <v>200.30459913311239</v>
      </c>
    </row>
    <row r="49" spans="5:6" x14ac:dyDescent="0.45">
      <c r="E49" t="s">
        <v>60</v>
      </c>
      <c r="F49">
        <f>(COUNTIF(I3:I42,"1")/COUNT(I3:I42))*100</f>
        <v>100</v>
      </c>
    </row>
  </sheetData>
  <sortState xmlns:xlrd2="http://schemas.microsoft.com/office/spreadsheetml/2017/richdata2" ref="A3:P42">
    <sortCondition ref="C3:C42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ruhi_0.1 stroop task_2025-08-20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Ruhi Mehta</dc:creator>
  <cp:lastModifiedBy>Ruhi Mehta</cp:lastModifiedBy>
  <dcterms:created xsi:type="dcterms:W3CDTF">2025-08-26T07:56:28Z</dcterms:created>
  <dcterms:modified xsi:type="dcterms:W3CDTF">2025-08-26T14:28:25Z</dcterms:modified>
</cp:coreProperties>
</file>