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Word_Priming\data\"/>
    </mc:Choice>
  </mc:AlternateContent>
  <xr:revisionPtr revIDLastSave="0" documentId="13_ncr:9_{603351AF-E833-4E22-9A5A-4C54D94D986B}" xr6:coauthVersionLast="47" xr6:coauthVersionMax="47" xr10:uidLastSave="{00000000-0000-0000-0000-000000000000}"/>
  <bookViews>
    <workbookView xWindow="-98" yWindow="-98" windowWidth="24196" windowHeight="14476" xr2:uid="{C3764042-0DE1-4ADA-A476-16EC43C81320}"/>
  </bookViews>
  <sheets>
    <sheet name="participant 1_word_priming_2025" sheetId="1" r:id="rId1"/>
  </sheets>
  <calcPr calcId="0"/>
</workbook>
</file>

<file path=xl/calcChain.xml><?xml version="1.0" encoding="utf-8"?>
<calcChain xmlns="http://schemas.openxmlformats.org/spreadsheetml/2006/main">
  <c r="J44" i="1" l="1"/>
  <c r="K42" i="1"/>
  <c r="K41" i="1"/>
</calcChain>
</file>

<file path=xl/sharedStrings.xml><?xml version="1.0" encoding="utf-8"?>
<sst xmlns="http://schemas.openxmlformats.org/spreadsheetml/2006/main" count="654" uniqueCount="187">
  <si>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</si>
  <si>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</si>
  <si>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</si>
  <si>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</si>
  <si>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</si>
  <si>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</si>
  <si>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</si>
  <si>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</si>
  <si>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</si>
  <si>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</si>
  <si>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</si>
  <si>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</si>
  <si>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</si>
  <si>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</si>
  <si>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</si>
  <si>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</si>
  <si>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</si>
  <si>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</si>
  <si>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</si>
  <si>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</si>
  <si>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</si>
  <si>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</si>
  <si>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</si>
  <si>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</si>
  <si>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</si>
  <si>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</si>
  <si>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</si>
  <si>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instructions_1.started</t>
  </si>
  <si>
    <t>text_5.started</t>
  </si>
  <si>
    <t>key_resp_2.started</t>
  </si>
  <si>
    <t>instructions_1.stopped</t>
  </si>
  <si>
    <t>key_resp_2.keys</t>
  </si>
  <si>
    <t>key_resp_2.rt</t>
  </si>
  <si>
    <t>key_resp_2.duration</t>
  </si>
  <si>
    <t>trial.started</t>
  </si>
  <si>
    <t>text.started</t>
  </si>
  <si>
    <t>slider.started</t>
  </si>
  <si>
    <t>text.stopped</t>
  </si>
  <si>
    <t>trial.stopped</t>
  </si>
  <si>
    <t>trials.slider.response</t>
  </si>
  <si>
    <t>trials.slider.rt</t>
  </si>
  <si>
    <t>instructions_2.started</t>
  </si>
  <si>
    <t>text_4.started</t>
  </si>
  <si>
    <t>key_resp.started</t>
  </si>
  <si>
    <t>instructions_2.stopped</t>
  </si>
  <si>
    <t>key_resp.keys</t>
  </si>
  <si>
    <t>key_resp.rt</t>
  </si>
  <si>
    <t>key_resp.duration</t>
  </si>
  <si>
    <t>test.started</t>
  </si>
  <si>
    <t>text_2.started</t>
  </si>
  <si>
    <t>textbox.started</t>
  </si>
  <si>
    <t>text_3.started</t>
  </si>
  <si>
    <t>mouse.started</t>
  </si>
  <si>
    <t>text_2.stopped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</si>
  <si>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</si>
  <si>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</si>
  <si>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</si>
  <si>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</si>
  <si>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</si>
  <si>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</si>
  <si>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</si>
  <si>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</si>
  <si>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</si>
  <si>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</si>
  <si>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</si>
  <si>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</si>
  <si>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</si>
  <si>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</si>
  <si>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</si>
  <si>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</si>
  <si>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</si>
  <si>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space</t>
  </si>
  <si>
    <t>None</t>
  </si>
  <si>
    <t>participant 1</t>
  </si>
  <si>
    <t>2025-10-15_22h22.11.619</t>
  </si>
  <si>
    <t>word_priming</t>
  </si>
  <si>
    <t>2025.1.1</t>
  </si>
  <si>
    <t>2025-10-15 22h22.26.257948 +0530</t>
  </si>
  <si>
    <t>laptop</t>
  </si>
  <si>
    <t>case</t>
  </si>
  <si>
    <t>marble</t>
  </si>
  <si>
    <t>keys</t>
  </si>
  <si>
    <t>cruise</t>
  </si>
  <si>
    <t>chart</t>
  </si>
  <si>
    <t>phone</t>
  </si>
  <si>
    <t>poster</t>
  </si>
  <si>
    <t>police</t>
  </si>
  <si>
    <t>cushion</t>
  </si>
  <si>
    <t>mouse</t>
  </si>
  <si>
    <t>pastry</t>
  </si>
  <si>
    <t>board</t>
  </si>
  <si>
    <t>book</t>
  </si>
  <si>
    <t>tshirt</t>
  </si>
  <si>
    <t>p_s_r_</t>
  </si>
  <si>
    <t>old</t>
  </si>
  <si>
    <t xml:space="preserve"> paser</t>
  </si>
  <si>
    <t>[-0.035, -0.0045]</t>
  </si>
  <si>
    <t>[0.307, -0.3055]</t>
  </si>
  <si>
    <t>[1, 1]</t>
  </si>
  <si>
    <t>[0, 0]</t>
  </si>
  <si>
    <t>[3.713879599934444, 83.58090639999136]</t>
  </si>
  <si>
    <t>[None, 'text_3']</t>
  </si>
  <si>
    <t>c_s_</t>
  </si>
  <si>
    <t>[-0.055]</t>
  </si>
  <si>
    <t>[-0.303]</t>
  </si>
  <si>
    <t>[1]</t>
  </si>
  <si>
    <t>[0]</t>
  </si>
  <si>
    <t>[7.244001900078729]</t>
  </si>
  <si>
    <t>['text_3']</t>
  </si>
  <si>
    <t>bo_t_e</t>
  </si>
  <si>
    <t>bottle</t>
  </si>
  <si>
    <t>new</t>
  </si>
  <si>
    <t>[-0.0335]</t>
  </si>
  <si>
    <t>[-0.317]</t>
  </si>
  <si>
    <t>[8.693464400013909]</t>
  </si>
  <si>
    <t>_ha_t</t>
  </si>
  <si>
    <t>[6.963874599896371]</t>
  </si>
  <si>
    <t>c_s_io_</t>
  </si>
  <si>
    <t>[41.49338410003111]</t>
  </si>
  <si>
    <t>_ru_s_</t>
  </si>
  <si>
    <t>[11.694056499982253]</t>
  </si>
  <si>
    <t>ta_l_</t>
  </si>
  <si>
    <t>table</t>
  </si>
  <si>
    <t>trail</t>
  </si>
  <si>
    <t>[-0.061]</t>
  </si>
  <si>
    <t>[-0.3085]</t>
  </si>
  <si>
    <t>[55.74423779989593]</t>
  </si>
  <si>
    <t>k_y_</t>
  </si>
  <si>
    <t xml:space="preserve">keys
</t>
  </si>
  <si>
    <t>[0.0175]</t>
  </si>
  <si>
    <t>[-0.3145]</t>
  </si>
  <si>
    <t>[6.394040300045162]</t>
  </si>
  <si>
    <t>_ho_e</t>
  </si>
  <si>
    <t>whole</t>
  </si>
  <si>
    <t>[0.0155]</t>
  </si>
  <si>
    <t>[-0.3035]</t>
  </si>
  <si>
    <t>[12.026306999847293]</t>
  </si>
  <si>
    <t>p_st_r</t>
  </si>
  <si>
    <t>[4.829426300013438]</t>
  </si>
  <si>
    <t>_a_bl_</t>
  </si>
  <si>
    <t>unable</t>
  </si>
  <si>
    <t>[0.002, 0.0005, -0.043, -0.0425, 0.003, 0.003, 0.0035, 0.0035, 0.0645, 0.0315, 0.0015, 0.0015, 0.0015, -0.0845]</t>
  </si>
  <si>
    <t>[-0.0015, 0.006, 0.007, -0.002, -0.013, -0.013, 0.004, 0.004, -0.0075, 0.0115, 0.003, 0.003, 0.003, -0.294]</t>
  </si>
  <si>
    <t>[1, 1, 1, 1, 1, 1, 1, 1, 1, 1, 1, 1, 1, 1]</t>
  </si>
  <si>
    <t>[0, 0, 0, 0, 0, 0, 0, 0, 0, 0, 0, 0, 0, 0]</t>
  </si>
  <si>
    <t>[33.52809689985588, 36.294643899891526, 39.076856300001964, 55.06103799981065, 58.593751000007614, 58.84398019989021, 60.52758669992909, 60.7782334999647, 100.19445959990844, 104.86132539995015, 111.0941077999305, 111.36094309994951, 112.21107059996575, 119.67786659998819]</t>
  </si>
  <si>
    <t>[None, None, None, None, None, None, None, None, None, None, None, None, None, 'text_3']</t>
  </si>
  <si>
    <t>c_m_ra</t>
  </si>
  <si>
    <t>camera</t>
  </si>
  <si>
    <t>[-0.0845]</t>
  </si>
  <si>
    <t>[-0.294]</t>
  </si>
  <si>
    <t>[1.9910361000802368]</t>
  </si>
  <si>
    <t>t_hi_t</t>
  </si>
  <si>
    <t>[-0.0575]</t>
  </si>
  <si>
    <t>[-0.2985]</t>
  </si>
  <si>
    <t>[16.51504319999367]</t>
  </si>
  <si>
    <t>v_s_</t>
  </si>
  <si>
    <t>vase</t>
  </si>
  <si>
    <t>[-0.0605]</t>
  </si>
  <si>
    <t>[-0.3015]</t>
  </si>
  <si>
    <t>[6.472502400167286]</t>
  </si>
  <si>
    <t>_ou_e</t>
  </si>
  <si>
    <t>[-0.087]</t>
  </si>
  <si>
    <t>[35.22634549997747]</t>
  </si>
  <si>
    <t>p_li_e</t>
  </si>
  <si>
    <t>slime</t>
  </si>
  <si>
    <t>[-0.0985]</t>
  </si>
  <si>
    <t>[-0.2945]</t>
  </si>
  <si>
    <t>[54.52927040006034]</t>
  </si>
  <si>
    <t>_oo_</t>
  </si>
  <si>
    <t>soon</t>
  </si>
  <si>
    <t>[-0.0995]</t>
  </si>
  <si>
    <t>[-0.2955]</t>
  </si>
  <si>
    <t>[5.577894000103697]</t>
  </si>
  <si>
    <t>_o_rd</t>
  </si>
  <si>
    <t>[0.011, -0.007]</t>
  </si>
  <si>
    <t>[-0.005, -0.308]</t>
  </si>
  <si>
    <t>[35.99451039987616, 39.91162389982492]</t>
  </si>
  <si>
    <t>p_nc_l</t>
  </si>
  <si>
    <t>pencil</t>
  </si>
  <si>
    <t>[-0.0205]</t>
  </si>
  <si>
    <t>[6.093500399962068]</t>
  </si>
  <si>
    <t>l_pt_p</t>
  </si>
  <si>
    <t>[8.010193199850619]</t>
  </si>
  <si>
    <t>Prop. of hit from study list =</t>
  </si>
  <si>
    <t>Prop. of hit for non-primed words =</t>
  </si>
  <si>
    <t>Priming score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</si>
</sst>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33" borderId="0" xfId="0" applyFill="1"/>
    <xf numFmtId="0" fontId="0" fillId="34" borderId="0" xfId="0" applyFill="1"/>
    <xf numFmtId="0" fontId="0" fillId="33" borderId="0" xfId="0" applyFill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64316-E688-4557-BC99-9BD021EF73A9}">
  <dimension ref="A1:BS44"/>
  <sheetViews>
    <sheetView tabSelected="1" topLeftCell="A14" workbookViewId="0">
      <selection activeCell="M43" sqref="M43"/>
    </sheetView>
  </sheetViews>
  <sheetFormatPr defaultRowHeight="14.25" x14ac:dyDescent="0.45"/>
  <cols>
    <col min="8" max="8" width="11.33203125" customWidth="1"/>
  </cols>
  <sheetData>
    <row r="1" spans="1:7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</row>
    <row r="2" spans="1:71" x14ac:dyDescent="0.45">
      <c r="AB2">
        <v>4.0375001262873403E-3</v>
      </c>
      <c r="AC2">
        <v>1.1418200097978099E-2</v>
      </c>
      <c r="AD2">
        <v>1.1418200097978099E-2</v>
      </c>
      <c r="AE2">
        <v>21.6286695001181</v>
      </c>
      <c r="AF2" t="s">
        <v>71</v>
      </c>
      <c r="AG2">
        <v>21.495185500010798</v>
      </c>
      <c r="AH2" t="s">
        <v>72</v>
      </c>
      <c r="BL2" t="s">
        <v>73</v>
      </c>
      <c r="BM2">
        <v>1</v>
      </c>
      <c r="BN2" t="s">
        <v>74</v>
      </c>
      <c r="BO2" t="s">
        <v>75</v>
      </c>
      <c r="BQ2" t="s">
        <v>76</v>
      </c>
      <c r="BR2">
        <v>59.986239205577299</v>
      </c>
      <c r="BS2" t="s">
        <v>77</v>
      </c>
    </row>
    <row r="3" spans="1:71" x14ac:dyDescent="0.45">
      <c r="A3" t="s">
        <v>78</v>
      </c>
      <c r="B3">
        <v>0</v>
      </c>
      <c r="C3">
        <v>0</v>
      </c>
      <c r="D3">
        <v>0</v>
      </c>
      <c r="E3">
        <v>1</v>
      </c>
      <c r="F3">
        <v>23.919007800053802</v>
      </c>
      <c r="R3">
        <v>0</v>
      </c>
      <c r="S3">
        <v>0</v>
      </c>
      <c r="T3">
        <v>0</v>
      </c>
      <c r="U3">
        <v>5</v>
      </c>
      <c r="Z3">
        <v>21.6945160999894</v>
      </c>
      <c r="AI3">
        <v>21.672720000147802</v>
      </c>
      <c r="AJ3">
        <v>21.6945160999894</v>
      </c>
      <c r="AK3">
        <v>21.6945160999894</v>
      </c>
      <c r="AL3">
        <v>29.697457799920802</v>
      </c>
      <c r="AM3">
        <v>45.602088799932901</v>
      </c>
      <c r="AN3">
        <v>1</v>
      </c>
      <c r="AO3">
        <v>23.919007800053802</v>
      </c>
      <c r="BL3" t="s">
        <v>73</v>
      </c>
      <c r="BM3">
        <v>1</v>
      </c>
      <c r="BN3" t="s">
        <v>74</v>
      </c>
      <c r="BO3" t="s">
        <v>75</v>
      </c>
      <c r="BQ3" t="s">
        <v>76</v>
      </c>
      <c r="BR3">
        <v>59.986239205577299</v>
      </c>
      <c r="BS3" t="s">
        <v>77</v>
      </c>
    </row>
    <row r="4" spans="1:71" x14ac:dyDescent="0.45">
      <c r="A4" t="s">
        <v>79</v>
      </c>
      <c r="B4">
        <v>1</v>
      </c>
      <c r="C4">
        <v>1</v>
      </c>
      <c r="D4">
        <v>0</v>
      </c>
      <c r="E4">
        <v>1</v>
      </c>
      <c r="F4">
        <v>1.42731900000944</v>
      </c>
      <c r="R4">
        <v>0</v>
      </c>
      <c r="S4">
        <v>1</v>
      </c>
      <c r="T4">
        <v>1</v>
      </c>
      <c r="U4">
        <v>10</v>
      </c>
      <c r="Z4">
        <v>45.618690000148398</v>
      </c>
      <c r="AI4">
        <v>45.605226200073901</v>
      </c>
      <c r="AJ4">
        <v>45.618690000148398</v>
      </c>
      <c r="AK4">
        <v>45.618690000148398</v>
      </c>
      <c r="AM4">
        <v>47.048296099994303</v>
      </c>
      <c r="AN4">
        <v>1</v>
      </c>
      <c r="AO4">
        <v>1.42731900000944</v>
      </c>
      <c r="BL4" t="s">
        <v>73</v>
      </c>
      <c r="BM4">
        <v>1</v>
      </c>
      <c r="BN4" t="s">
        <v>74</v>
      </c>
      <c r="BO4" t="s">
        <v>75</v>
      </c>
      <c r="BQ4" t="s">
        <v>76</v>
      </c>
      <c r="BR4">
        <v>59.986239205577299</v>
      </c>
      <c r="BS4" t="s">
        <v>77</v>
      </c>
    </row>
    <row r="5" spans="1:71" x14ac:dyDescent="0.45">
      <c r="A5" t="s">
        <v>80</v>
      </c>
      <c r="B5">
        <v>2</v>
      </c>
      <c r="C5">
        <v>2</v>
      </c>
      <c r="D5">
        <v>0</v>
      </c>
      <c r="E5">
        <v>1</v>
      </c>
      <c r="F5">
        <v>1.2964209998026399</v>
      </c>
      <c r="R5">
        <v>0</v>
      </c>
      <c r="S5">
        <v>2</v>
      </c>
      <c r="T5">
        <v>2</v>
      </c>
      <c r="U5">
        <v>3</v>
      </c>
      <c r="Z5">
        <v>47.064600100042298</v>
      </c>
      <c r="AI5">
        <v>47.053499400150002</v>
      </c>
      <c r="AJ5">
        <v>47.064600100042298</v>
      </c>
      <c r="AK5">
        <v>47.064600100042298</v>
      </c>
      <c r="AM5">
        <v>48.365178300067697</v>
      </c>
      <c r="AN5">
        <v>1</v>
      </c>
      <c r="AO5">
        <v>1.2964209998026399</v>
      </c>
      <c r="BL5" t="s">
        <v>73</v>
      </c>
      <c r="BM5">
        <v>1</v>
      </c>
      <c r="BN5" t="s">
        <v>74</v>
      </c>
      <c r="BO5" t="s">
        <v>75</v>
      </c>
      <c r="BQ5" t="s">
        <v>76</v>
      </c>
      <c r="BR5">
        <v>59.986239205577299</v>
      </c>
      <c r="BS5" t="s">
        <v>77</v>
      </c>
    </row>
    <row r="6" spans="1:71" x14ac:dyDescent="0.45">
      <c r="A6" t="s">
        <v>81</v>
      </c>
      <c r="B6">
        <v>3</v>
      </c>
      <c r="C6">
        <v>3</v>
      </c>
      <c r="D6">
        <v>0</v>
      </c>
      <c r="E6">
        <v>1</v>
      </c>
      <c r="F6">
        <v>0.92985869990661696</v>
      </c>
      <c r="R6">
        <v>0</v>
      </c>
      <c r="S6">
        <v>3</v>
      </c>
      <c r="T6">
        <v>3</v>
      </c>
      <c r="U6">
        <v>13</v>
      </c>
      <c r="Z6">
        <v>48.380432300036702</v>
      </c>
      <c r="AI6">
        <v>48.3697242001071</v>
      </c>
      <c r="AJ6">
        <v>48.380432300036702</v>
      </c>
      <c r="AK6">
        <v>48.380432300036702</v>
      </c>
      <c r="AM6">
        <v>49.314989800099198</v>
      </c>
      <c r="AN6">
        <v>1</v>
      </c>
      <c r="AO6">
        <v>0.92985869990661696</v>
      </c>
      <c r="BL6" t="s">
        <v>73</v>
      </c>
      <c r="BM6">
        <v>1</v>
      </c>
      <c r="BN6" t="s">
        <v>74</v>
      </c>
      <c r="BO6" t="s">
        <v>75</v>
      </c>
      <c r="BQ6" t="s">
        <v>76</v>
      </c>
      <c r="BR6">
        <v>59.986239205577299</v>
      </c>
      <c r="BS6" t="s">
        <v>77</v>
      </c>
    </row>
    <row r="7" spans="1:71" x14ac:dyDescent="0.45">
      <c r="A7" t="s">
        <v>82</v>
      </c>
      <c r="B7">
        <v>4</v>
      </c>
      <c r="C7">
        <v>4</v>
      </c>
      <c r="D7">
        <v>0</v>
      </c>
      <c r="E7">
        <v>1</v>
      </c>
      <c r="F7">
        <v>1.1619764000643</v>
      </c>
      <c r="R7">
        <v>0</v>
      </c>
      <c r="S7">
        <v>4</v>
      </c>
      <c r="T7">
        <v>4</v>
      </c>
      <c r="U7">
        <v>11</v>
      </c>
      <c r="Z7">
        <v>49.330890200100797</v>
      </c>
      <c r="AI7">
        <v>49.320144500117699</v>
      </c>
      <c r="AJ7">
        <v>49.330890200100797</v>
      </c>
      <c r="AK7">
        <v>49.330890200100797</v>
      </c>
      <c r="AM7">
        <v>50.4978819000534</v>
      </c>
      <c r="AN7">
        <v>1</v>
      </c>
      <c r="AO7">
        <v>1.1619764000643</v>
      </c>
      <c r="BL7" t="s">
        <v>73</v>
      </c>
      <c r="BM7">
        <v>1</v>
      </c>
      <c r="BN7" t="s">
        <v>74</v>
      </c>
      <c r="BO7" t="s">
        <v>75</v>
      </c>
      <c r="BQ7" t="s">
        <v>76</v>
      </c>
      <c r="BR7">
        <v>59.986239205577299</v>
      </c>
      <c r="BS7" t="s">
        <v>77</v>
      </c>
    </row>
    <row r="8" spans="1:71" x14ac:dyDescent="0.45">
      <c r="A8" t="s">
        <v>83</v>
      </c>
      <c r="B8">
        <v>5</v>
      </c>
      <c r="C8">
        <v>5</v>
      </c>
      <c r="D8">
        <v>0</v>
      </c>
      <c r="E8">
        <v>1</v>
      </c>
      <c r="F8">
        <v>1.1147326999343901</v>
      </c>
      <c r="R8">
        <v>0</v>
      </c>
      <c r="S8">
        <v>5</v>
      </c>
      <c r="T8">
        <v>5</v>
      </c>
      <c r="U8">
        <v>6</v>
      </c>
      <c r="Z8">
        <v>50.513595200143698</v>
      </c>
      <c r="AI8">
        <v>50.501428900053703</v>
      </c>
      <c r="AJ8">
        <v>50.513595200143698</v>
      </c>
      <c r="AK8">
        <v>50.513595200143698</v>
      </c>
      <c r="AM8">
        <v>51.631725199986199</v>
      </c>
      <c r="AN8">
        <v>1</v>
      </c>
      <c r="AO8">
        <v>1.1147326999343901</v>
      </c>
      <c r="BL8" t="s">
        <v>73</v>
      </c>
      <c r="BM8">
        <v>1</v>
      </c>
      <c r="BN8" t="s">
        <v>74</v>
      </c>
      <c r="BO8" t="s">
        <v>75</v>
      </c>
      <c r="BQ8" t="s">
        <v>76</v>
      </c>
      <c r="BR8">
        <v>59.986239205577299</v>
      </c>
      <c r="BS8" t="s">
        <v>77</v>
      </c>
    </row>
    <row r="9" spans="1:71" x14ac:dyDescent="0.45">
      <c r="A9" t="s">
        <v>84</v>
      </c>
      <c r="B9">
        <v>6</v>
      </c>
      <c r="C9">
        <v>6</v>
      </c>
      <c r="D9">
        <v>0</v>
      </c>
      <c r="E9">
        <v>1</v>
      </c>
      <c r="F9">
        <v>1.02925039990805</v>
      </c>
      <c r="R9">
        <v>0</v>
      </c>
      <c r="S9">
        <v>6</v>
      </c>
      <c r="T9">
        <v>6</v>
      </c>
      <c r="U9">
        <v>2</v>
      </c>
      <c r="Z9">
        <v>51.647318199975402</v>
      </c>
      <c r="AI9">
        <v>51.6363202000502</v>
      </c>
      <c r="AJ9">
        <v>51.647318199975402</v>
      </c>
      <c r="AK9">
        <v>51.647318199975402</v>
      </c>
      <c r="AM9">
        <v>52.681570800021198</v>
      </c>
      <c r="AN9">
        <v>1</v>
      </c>
      <c r="AO9">
        <v>1.02925039990805</v>
      </c>
      <c r="BL9" t="s">
        <v>73</v>
      </c>
      <c r="BM9">
        <v>1</v>
      </c>
      <c r="BN9" t="s">
        <v>74</v>
      </c>
      <c r="BO9" t="s">
        <v>75</v>
      </c>
      <c r="BQ9" t="s">
        <v>76</v>
      </c>
      <c r="BR9">
        <v>59.986239205577299</v>
      </c>
      <c r="BS9" t="s">
        <v>77</v>
      </c>
    </row>
    <row r="10" spans="1:71" x14ac:dyDescent="0.45">
      <c r="A10" t="s">
        <v>85</v>
      </c>
      <c r="B10">
        <v>7</v>
      </c>
      <c r="C10">
        <v>7</v>
      </c>
      <c r="D10">
        <v>0</v>
      </c>
      <c r="E10">
        <v>1</v>
      </c>
      <c r="F10">
        <v>0.97805549995973695</v>
      </c>
      <c r="R10">
        <v>0</v>
      </c>
      <c r="S10">
        <v>7</v>
      </c>
      <c r="T10">
        <v>7</v>
      </c>
      <c r="U10">
        <v>14</v>
      </c>
      <c r="Z10">
        <v>52.698590700048896</v>
      </c>
      <c r="AI10">
        <v>52.687339100055397</v>
      </c>
      <c r="AJ10">
        <v>52.698590700048896</v>
      </c>
      <c r="AK10">
        <v>52.698590700048896</v>
      </c>
      <c r="AM10">
        <v>53.681378599954698</v>
      </c>
      <c r="AN10">
        <v>1</v>
      </c>
      <c r="AO10">
        <v>0.97805549995973695</v>
      </c>
      <c r="BL10" t="s">
        <v>73</v>
      </c>
      <c r="BM10">
        <v>1</v>
      </c>
      <c r="BN10" t="s">
        <v>74</v>
      </c>
      <c r="BO10" t="s">
        <v>75</v>
      </c>
      <c r="BQ10" t="s">
        <v>76</v>
      </c>
      <c r="BR10">
        <v>59.986239205577299</v>
      </c>
      <c r="BS10" t="s">
        <v>77</v>
      </c>
    </row>
    <row r="11" spans="1:71" x14ac:dyDescent="0.45">
      <c r="A11" t="s">
        <v>86</v>
      </c>
      <c r="B11">
        <v>8</v>
      </c>
      <c r="C11">
        <v>8</v>
      </c>
      <c r="D11">
        <v>0</v>
      </c>
      <c r="E11">
        <v>1</v>
      </c>
      <c r="F11">
        <v>0.96418159990571395</v>
      </c>
      <c r="R11">
        <v>0</v>
      </c>
      <c r="S11">
        <v>8</v>
      </c>
      <c r="T11">
        <v>8</v>
      </c>
      <c r="U11">
        <v>12</v>
      </c>
      <c r="Z11">
        <v>53.697408000007201</v>
      </c>
      <c r="AI11">
        <v>53.685211400035698</v>
      </c>
      <c r="AJ11">
        <v>53.697408000007201</v>
      </c>
      <c r="AK11">
        <v>53.697408000007201</v>
      </c>
      <c r="AM11">
        <v>54.665095899952497</v>
      </c>
      <c r="AN11">
        <v>1</v>
      </c>
      <c r="AO11">
        <v>0.96418159990571395</v>
      </c>
      <c r="BL11" t="s">
        <v>73</v>
      </c>
      <c r="BM11">
        <v>1</v>
      </c>
      <c r="BN11" t="s">
        <v>74</v>
      </c>
      <c r="BO11" t="s">
        <v>75</v>
      </c>
      <c r="BQ11" t="s">
        <v>76</v>
      </c>
      <c r="BR11">
        <v>59.986239205577299</v>
      </c>
      <c r="BS11" t="s">
        <v>77</v>
      </c>
    </row>
    <row r="12" spans="1:71" x14ac:dyDescent="0.45">
      <c r="A12" t="s">
        <v>87</v>
      </c>
      <c r="B12">
        <v>9</v>
      </c>
      <c r="C12">
        <v>9</v>
      </c>
      <c r="D12">
        <v>0</v>
      </c>
      <c r="E12">
        <v>1</v>
      </c>
      <c r="F12">
        <v>1.0796704001259001</v>
      </c>
      <c r="R12">
        <v>0</v>
      </c>
      <c r="S12">
        <v>9</v>
      </c>
      <c r="T12">
        <v>9</v>
      </c>
      <c r="U12">
        <v>1</v>
      </c>
      <c r="Z12">
        <v>54.681717799976397</v>
      </c>
      <c r="AI12">
        <v>54.670078299939597</v>
      </c>
      <c r="AJ12">
        <v>54.681717799976397</v>
      </c>
      <c r="AK12">
        <v>54.681717799976397</v>
      </c>
      <c r="AM12">
        <v>55.765084200072998</v>
      </c>
      <c r="AN12">
        <v>1</v>
      </c>
      <c r="AO12">
        <v>1.0796704001259001</v>
      </c>
      <c r="BL12" t="s">
        <v>73</v>
      </c>
      <c r="BM12">
        <v>1</v>
      </c>
      <c r="BN12" t="s">
        <v>74</v>
      </c>
      <c r="BO12" t="s">
        <v>75</v>
      </c>
      <c r="BQ12" t="s">
        <v>76</v>
      </c>
      <c r="BR12">
        <v>59.986239205577299</v>
      </c>
      <c r="BS12" t="s">
        <v>77</v>
      </c>
    </row>
    <row r="13" spans="1:71" x14ac:dyDescent="0.45">
      <c r="A13" t="s">
        <v>88</v>
      </c>
      <c r="B13">
        <v>10</v>
      </c>
      <c r="C13">
        <v>10</v>
      </c>
      <c r="D13">
        <v>0</v>
      </c>
      <c r="E13">
        <v>1</v>
      </c>
      <c r="F13">
        <v>0.994779800064861</v>
      </c>
      <c r="R13">
        <v>0</v>
      </c>
      <c r="S13">
        <v>10</v>
      </c>
      <c r="T13">
        <v>10</v>
      </c>
      <c r="U13">
        <v>8</v>
      </c>
      <c r="Z13">
        <v>55.783157000085303</v>
      </c>
      <c r="AI13">
        <v>55.7704205000773</v>
      </c>
      <c r="AJ13">
        <v>55.783157000085303</v>
      </c>
      <c r="AK13">
        <v>55.783157000085303</v>
      </c>
      <c r="AM13">
        <v>56.7812401999253</v>
      </c>
      <c r="AN13">
        <v>1</v>
      </c>
      <c r="AO13">
        <v>0.994779800064861</v>
      </c>
      <c r="BL13" t="s">
        <v>73</v>
      </c>
      <c r="BM13">
        <v>1</v>
      </c>
      <c r="BN13" t="s">
        <v>74</v>
      </c>
      <c r="BO13" t="s">
        <v>75</v>
      </c>
      <c r="BQ13" t="s">
        <v>76</v>
      </c>
      <c r="BR13">
        <v>59.986239205577299</v>
      </c>
      <c r="BS13" t="s">
        <v>77</v>
      </c>
    </row>
    <row r="14" spans="1:71" x14ac:dyDescent="0.45">
      <c r="A14" t="s">
        <v>89</v>
      </c>
      <c r="B14">
        <v>11</v>
      </c>
      <c r="C14">
        <v>11</v>
      </c>
      <c r="D14">
        <v>0</v>
      </c>
      <c r="E14">
        <v>1</v>
      </c>
      <c r="F14">
        <v>0.94754000008106198</v>
      </c>
      <c r="R14">
        <v>0</v>
      </c>
      <c r="S14">
        <v>11</v>
      </c>
      <c r="T14">
        <v>11</v>
      </c>
      <c r="U14">
        <v>9</v>
      </c>
      <c r="Z14">
        <v>56.7969866001512</v>
      </c>
      <c r="AI14">
        <v>56.784876900026497</v>
      </c>
      <c r="AJ14">
        <v>56.7969866001512</v>
      </c>
      <c r="AK14">
        <v>56.7969866001512</v>
      </c>
      <c r="AM14">
        <v>57.748670600121798</v>
      </c>
      <c r="AN14">
        <v>1</v>
      </c>
      <c r="AO14">
        <v>0.94754000008106198</v>
      </c>
      <c r="BL14" t="s">
        <v>73</v>
      </c>
      <c r="BM14">
        <v>1</v>
      </c>
      <c r="BN14" t="s">
        <v>74</v>
      </c>
      <c r="BO14" t="s">
        <v>75</v>
      </c>
      <c r="BQ14" t="s">
        <v>76</v>
      </c>
      <c r="BR14">
        <v>59.986239205577299</v>
      </c>
      <c r="BS14" t="s">
        <v>77</v>
      </c>
    </row>
    <row r="15" spans="1:71" x14ac:dyDescent="0.45">
      <c r="A15" t="s">
        <v>90</v>
      </c>
      <c r="B15">
        <v>12</v>
      </c>
      <c r="C15">
        <v>12</v>
      </c>
      <c r="D15">
        <v>0</v>
      </c>
      <c r="E15">
        <v>1</v>
      </c>
      <c r="F15">
        <v>1.04499850003048</v>
      </c>
      <c r="R15">
        <v>0</v>
      </c>
      <c r="S15">
        <v>12</v>
      </c>
      <c r="T15">
        <v>12</v>
      </c>
      <c r="U15">
        <v>4</v>
      </c>
      <c r="Z15">
        <v>57.764716400066298</v>
      </c>
      <c r="AI15">
        <v>57.753660300047997</v>
      </c>
      <c r="AJ15">
        <v>57.764716400066298</v>
      </c>
      <c r="AK15">
        <v>57.764716400066298</v>
      </c>
      <c r="AM15">
        <v>58.815163700142797</v>
      </c>
      <c r="AN15">
        <v>1</v>
      </c>
      <c r="AO15">
        <v>1.04499850003048</v>
      </c>
      <c r="BL15" t="s">
        <v>73</v>
      </c>
      <c r="BM15">
        <v>1</v>
      </c>
      <c r="BN15" t="s">
        <v>74</v>
      </c>
      <c r="BO15" t="s">
        <v>75</v>
      </c>
      <c r="BQ15" t="s">
        <v>76</v>
      </c>
      <c r="BR15">
        <v>59.986239205577299</v>
      </c>
      <c r="BS15" t="s">
        <v>77</v>
      </c>
    </row>
    <row r="16" spans="1:71" x14ac:dyDescent="0.45">
      <c r="A16" t="s">
        <v>91</v>
      </c>
      <c r="B16">
        <v>13</v>
      </c>
      <c r="C16">
        <v>13</v>
      </c>
      <c r="D16">
        <v>0</v>
      </c>
      <c r="E16">
        <v>1</v>
      </c>
      <c r="F16">
        <v>0.87986029987223402</v>
      </c>
      <c r="R16">
        <v>0</v>
      </c>
      <c r="S16">
        <v>13</v>
      </c>
      <c r="T16">
        <v>13</v>
      </c>
      <c r="U16">
        <v>0</v>
      </c>
      <c r="Z16">
        <v>58.831487999996099</v>
      </c>
      <c r="AI16">
        <v>58.819678999949197</v>
      </c>
      <c r="AJ16">
        <v>58.831487999996099</v>
      </c>
      <c r="AK16">
        <v>58.831487999996099</v>
      </c>
      <c r="AM16">
        <v>59.714772700099203</v>
      </c>
      <c r="AN16">
        <v>1</v>
      </c>
      <c r="AO16">
        <v>0.87986029987223402</v>
      </c>
      <c r="BL16" t="s">
        <v>73</v>
      </c>
      <c r="BM16">
        <v>1</v>
      </c>
      <c r="BN16" t="s">
        <v>74</v>
      </c>
      <c r="BO16" t="s">
        <v>75</v>
      </c>
      <c r="BQ16" t="s">
        <v>76</v>
      </c>
      <c r="BR16">
        <v>59.986239205577299</v>
      </c>
      <c r="BS16" t="s">
        <v>77</v>
      </c>
    </row>
    <row r="17" spans="1:71" x14ac:dyDescent="0.45">
      <c r="A17" t="s">
        <v>92</v>
      </c>
      <c r="B17">
        <v>14</v>
      </c>
      <c r="C17">
        <v>14</v>
      </c>
      <c r="D17">
        <v>0</v>
      </c>
      <c r="E17">
        <v>1</v>
      </c>
      <c r="F17">
        <v>0.91348420013673604</v>
      </c>
      <c r="R17">
        <v>0</v>
      </c>
      <c r="S17">
        <v>14</v>
      </c>
      <c r="T17">
        <v>14</v>
      </c>
      <c r="U17">
        <v>7</v>
      </c>
      <c r="Z17">
        <v>59.730701799970099</v>
      </c>
      <c r="AI17">
        <v>59.719358599977497</v>
      </c>
      <c r="AJ17">
        <v>59.730701799970099</v>
      </c>
      <c r="AK17">
        <v>59.730701799970099</v>
      </c>
      <c r="AM17">
        <v>60.648695199983102</v>
      </c>
      <c r="AN17">
        <v>1</v>
      </c>
      <c r="AO17">
        <v>0.91348420013673604</v>
      </c>
      <c r="BL17" t="s">
        <v>73</v>
      </c>
      <c r="BM17">
        <v>1</v>
      </c>
      <c r="BN17" t="s">
        <v>74</v>
      </c>
      <c r="BO17" t="s">
        <v>75</v>
      </c>
      <c r="BQ17" t="s">
        <v>76</v>
      </c>
      <c r="BR17">
        <v>59.986239205577299</v>
      </c>
      <c r="BS17" t="s">
        <v>77</v>
      </c>
    </row>
    <row r="18" spans="1:71" x14ac:dyDescent="0.45">
      <c r="AP18">
        <v>60.648872799938502</v>
      </c>
      <c r="AQ18">
        <v>60.664119899971404</v>
      </c>
      <c r="AR18">
        <v>60.664119899971404</v>
      </c>
      <c r="AS18">
        <v>78.464821000117794</v>
      </c>
      <c r="AT18" t="s">
        <v>71</v>
      </c>
      <c r="AU18">
        <v>17.787000000011101</v>
      </c>
      <c r="AV18" t="s">
        <v>72</v>
      </c>
      <c r="BL18" t="s">
        <v>73</v>
      </c>
      <c r="BM18">
        <v>1</v>
      </c>
      <c r="BN18" t="s">
        <v>74</v>
      </c>
      <c r="BO18" t="s">
        <v>75</v>
      </c>
      <c r="BQ18" t="s">
        <v>76</v>
      </c>
      <c r="BR18">
        <v>59.986239205577299</v>
      </c>
      <c r="BS18" t="s">
        <v>77</v>
      </c>
    </row>
    <row r="19" spans="1:71" x14ac:dyDescent="0.45">
      <c r="B19">
        <v>0</v>
      </c>
      <c r="C19">
        <v>0</v>
      </c>
      <c r="D19">
        <v>0</v>
      </c>
      <c r="G19" t="s">
        <v>93</v>
      </c>
      <c r="H19" t="s">
        <v>89</v>
      </c>
      <c r="I19" t="s">
        <v>94</v>
      </c>
      <c r="J19" t="s">
        <v>95</v>
      </c>
      <c r="K19" t="s">
        <v>96</v>
      </c>
      <c r="L19" t="s">
        <v>97</v>
      </c>
      <c r="M19" t="s">
        <v>98</v>
      </c>
      <c r="N19" t="s">
        <v>99</v>
      </c>
      <c r="O19" t="s">
        <v>99</v>
      </c>
      <c r="P19" t="s">
        <v>100</v>
      </c>
      <c r="Q19" t="s">
        <v>101</v>
      </c>
      <c r="V19">
        <v>0</v>
      </c>
      <c r="W19">
        <v>0</v>
      </c>
      <c r="X19">
        <v>0</v>
      </c>
      <c r="Y19">
        <v>4</v>
      </c>
      <c r="Z19">
        <v>78.5320198000408</v>
      </c>
      <c r="AW19">
        <v>78.517468200065196</v>
      </c>
      <c r="AX19">
        <v>78.5320198000408</v>
      </c>
      <c r="AY19">
        <v>78.5320198000408</v>
      </c>
      <c r="AZ19">
        <v>78.5320198000408</v>
      </c>
      <c r="BA19">
        <v>5.2641200134530601E-2</v>
      </c>
      <c r="BB19">
        <v>88.5468032001517</v>
      </c>
      <c r="BC19">
        <v>162.09867500001499</v>
      </c>
      <c r="BD19" t="s">
        <v>95</v>
      </c>
      <c r="BE19" t="s">
        <v>96</v>
      </c>
      <c r="BF19" t="s">
        <v>97</v>
      </c>
      <c r="BG19" t="s">
        <v>98</v>
      </c>
      <c r="BH19" t="s">
        <v>99</v>
      </c>
      <c r="BI19" t="s">
        <v>99</v>
      </c>
      <c r="BJ19" t="s">
        <v>100</v>
      </c>
      <c r="BK19" t="s">
        <v>101</v>
      </c>
      <c r="BL19" t="s">
        <v>73</v>
      </c>
      <c r="BM19">
        <v>1</v>
      </c>
      <c r="BN19" t="s">
        <v>74</v>
      </c>
      <c r="BO19" t="s">
        <v>75</v>
      </c>
      <c r="BQ19" t="s">
        <v>76</v>
      </c>
      <c r="BR19">
        <v>59.986239205577299</v>
      </c>
      <c r="BS19" t="s">
        <v>77</v>
      </c>
    </row>
    <row r="20" spans="1:71" x14ac:dyDescent="0.45">
      <c r="B20">
        <v>1</v>
      </c>
      <c r="C20">
        <v>1</v>
      </c>
      <c r="D20">
        <v>0</v>
      </c>
      <c r="G20" t="s">
        <v>102</v>
      </c>
      <c r="H20" t="s">
        <v>79</v>
      </c>
      <c r="I20" t="s">
        <v>94</v>
      </c>
      <c r="J20" s="3" t="s">
        <v>79</v>
      </c>
      <c r="K20" t="s">
        <v>103</v>
      </c>
      <c r="L20" t="s">
        <v>104</v>
      </c>
      <c r="M20" t="s">
        <v>105</v>
      </c>
      <c r="N20" t="s">
        <v>106</v>
      </c>
      <c r="O20" t="s">
        <v>106</v>
      </c>
      <c r="P20" t="s">
        <v>107</v>
      </c>
      <c r="Q20" t="s">
        <v>108</v>
      </c>
      <c r="V20">
        <v>0</v>
      </c>
      <c r="W20">
        <v>1</v>
      </c>
      <c r="X20">
        <v>1</v>
      </c>
      <c r="Y20">
        <v>5</v>
      </c>
      <c r="Z20">
        <v>162.118583500152</v>
      </c>
      <c r="AW20">
        <v>162.10372880008001</v>
      </c>
      <c r="AX20">
        <v>162.118583500152</v>
      </c>
      <c r="AY20">
        <v>162.118583500152</v>
      </c>
      <c r="AZ20">
        <v>162.118583500152</v>
      </c>
      <c r="BA20">
        <v>4.8062999267131003E-3</v>
      </c>
      <c r="BC20">
        <v>169.34814180014601</v>
      </c>
      <c r="BD20" t="s">
        <v>79</v>
      </c>
      <c r="BE20" t="s">
        <v>103</v>
      </c>
      <c r="BF20" t="s">
        <v>104</v>
      </c>
      <c r="BG20" t="s">
        <v>105</v>
      </c>
      <c r="BH20" t="s">
        <v>106</v>
      </c>
      <c r="BI20" t="s">
        <v>106</v>
      </c>
      <c r="BJ20" t="s">
        <v>107</v>
      </c>
      <c r="BK20" t="s">
        <v>108</v>
      </c>
      <c r="BL20" t="s">
        <v>73</v>
      </c>
      <c r="BM20">
        <v>1</v>
      </c>
      <c r="BN20" t="s">
        <v>74</v>
      </c>
      <c r="BO20" t="s">
        <v>75</v>
      </c>
      <c r="BQ20" t="s">
        <v>76</v>
      </c>
      <c r="BR20">
        <v>59.986239205577299</v>
      </c>
      <c r="BS20" t="s">
        <v>77</v>
      </c>
    </row>
    <row r="21" spans="1:71" x14ac:dyDescent="0.45">
      <c r="B21">
        <v>2</v>
      </c>
      <c r="C21">
        <v>2</v>
      </c>
      <c r="D21">
        <v>0</v>
      </c>
      <c r="G21" t="s">
        <v>109</v>
      </c>
      <c r="H21" t="s">
        <v>110</v>
      </c>
      <c r="I21" t="s">
        <v>111</v>
      </c>
      <c r="J21" s="4" t="s">
        <v>110</v>
      </c>
      <c r="K21" t="s">
        <v>112</v>
      </c>
      <c r="L21" t="s">
        <v>113</v>
      </c>
      <c r="M21" t="s">
        <v>105</v>
      </c>
      <c r="N21" t="s">
        <v>106</v>
      </c>
      <c r="O21" t="s">
        <v>106</v>
      </c>
      <c r="P21" t="s">
        <v>114</v>
      </c>
      <c r="Q21" t="s">
        <v>108</v>
      </c>
      <c r="V21">
        <v>0</v>
      </c>
      <c r="W21">
        <v>2</v>
      </c>
      <c r="X21">
        <v>2</v>
      </c>
      <c r="Y21">
        <v>18</v>
      </c>
      <c r="Z21">
        <v>169.367490499978</v>
      </c>
      <c r="AW21">
        <v>169.353565199999</v>
      </c>
      <c r="AX21">
        <v>169.367490499978</v>
      </c>
      <c r="AY21">
        <v>169.367490499978</v>
      </c>
      <c r="AZ21">
        <v>169.367490499978</v>
      </c>
      <c r="BA21">
        <v>5.2561999764293398E-3</v>
      </c>
      <c r="BC21">
        <v>178.047464899951</v>
      </c>
      <c r="BD21" t="s">
        <v>110</v>
      </c>
      <c r="BE21" t="s">
        <v>112</v>
      </c>
      <c r="BF21" t="s">
        <v>113</v>
      </c>
      <c r="BG21" t="s">
        <v>105</v>
      </c>
      <c r="BH21" t="s">
        <v>106</v>
      </c>
      <c r="BI21" t="s">
        <v>106</v>
      </c>
      <c r="BJ21" t="s">
        <v>114</v>
      </c>
      <c r="BK21" t="s">
        <v>108</v>
      </c>
      <c r="BL21" t="s">
        <v>73</v>
      </c>
      <c r="BM21">
        <v>1</v>
      </c>
      <c r="BN21" t="s">
        <v>74</v>
      </c>
      <c r="BO21" t="s">
        <v>75</v>
      </c>
      <c r="BQ21" t="s">
        <v>76</v>
      </c>
      <c r="BR21">
        <v>59.986239205577299</v>
      </c>
      <c r="BS21" t="s">
        <v>77</v>
      </c>
    </row>
    <row r="22" spans="1:71" x14ac:dyDescent="0.45">
      <c r="B22">
        <v>3</v>
      </c>
      <c r="C22">
        <v>3</v>
      </c>
      <c r="D22">
        <v>0</v>
      </c>
      <c r="G22" t="s">
        <v>115</v>
      </c>
      <c r="H22" t="s">
        <v>83</v>
      </c>
      <c r="I22" t="s">
        <v>94</v>
      </c>
      <c r="J22" s="3" t="s">
        <v>83</v>
      </c>
      <c r="K22" t="s">
        <v>112</v>
      </c>
      <c r="L22" t="s">
        <v>113</v>
      </c>
      <c r="M22" t="s">
        <v>105</v>
      </c>
      <c r="N22" t="s">
        <v>106</v>
      </c>
      <c r="O22" t="s">
        <v>106</v>
      </c>
      <c r="P22" t="s">
        <v>116</v>
      </c>
      <c r="Q22" t="s">
        <v>108</v>
      </c>
      <c r="V22">
        <v>0</v>
      </c>
      <c r="W22">
        <v>3</v>
      </c>
      <c r="X22">
        <v>3</v>
      </c>
      <c r="Y22">
        <v>1</v>
      </c>
      <c r="Z22">
        <v>178.062986300094</v>
      </c>
      <c r="AW22">
        <v>178.05108419992001</v>
      </c>
      <c r="AX22">
        <v>178.062986300094</v>
      </c>
      <c r="AY22">
        <v>178.062986300094</v>
      </c>
      <c r="AZ22">
        <v>178.062986300094</v>
      </c>
      <c r="BA22">
        <v>3.4803999587893399E-3</v>
      </c>
      <c r="BC22">
        <v>185.01526240003199</v>
      </c>
      <c r="BD22" t="s">
        <v>83</v>
      </c>
      <c r="BE22" t="s">
        <v>112</v>
      </c>
      <c r="BF22" t="s">
        <v>113</v>
      </c>
      <c r="BG22" t="s">
        <v>105</v>
      </c>
      <c r="BH22" t="s">
        <v>106</v>
      </c>
      <c r="BI22" t="s">
        <v>106</v>
      </c>
      <c r="BJ22" t="s">
        <v>116</v>
      </c>
      <c r="BK22" t="s">
        <v>108</v>
      </c>
      <c r="BL22" t="s">
        <v>73</v>
      </c>
      <c r="BM22">
        <v>1</v>
      </c>
      <c r="BN22" t="s">
        <v>74</v>
      </c>
      <c r="BO22" t="s">
        <v>75</v>
      </c>
      <c r="BQ22" t="s">
        <v>76</v>
      </c>
      <c r="BR22">
        <v>59.986239205577299</v>
      </c>
      <c r="BS22" t="s">
        <v>77</v>
      </c>
    </row>
    <row r="23" spans="1:71" x14ac:dyDescent="0.45">
      <c r="B23">
        <v>4</v>
      </c>
      <c r="C23">
        <v>4</v>
      </c>
      <c r="D23">
        <v>0</v>
      </c>
      <c r="G23" t="s">
        <v>117</v>
      </c>
      <c r="H23" t="s">
        <v>87</v>
      </c>
      <c r="I23" t="s">
        <v>94</v>
      </c>
      <c r="K23" t="s">
        <v>112</v>
      </c>
      <c r="L23" t="s">
        <v>113</v>
      </c>
      <c r="M23" t="s">
        <v>105</v>
      </c>
      <c r="N23" t="s">
        <v>106</v>
      </c>
      <c r="O23" t="s">
        <v>106</v>
      </c>
      <c r="P23" t="s">
        <v>118</v>
      </c>
      <c r="Q23" t="s">
        <v>108</v>
      </c>
      <c r="V23">
        <v>0</v>
      </c>
      <c r="W23">
        <v>4</v>
      </c>
      <c r="X23">
        <v>4</v>
      </c>
      <c r="Y23">
        <v>14</v>
      </c>
      <c r="Z23">
        <v>185.03390430007099</v>
      </c>
      <c r="AW23">
        <v>185.020616000052</v>
      </c>
      <c r="AX23">
        <v>185.03390430007099</v>
      </c>
      <c r="AY23">
        <v>185.03390430007099</v>
      </c>
      <c r="AZ23">
        <v>185.03390430007099</v>
      </c>
      <c r="BA23">
        <v>5.1831000018864801E-3</v>
      </c>
      <c r="BB23">
        <v>195.04680210002601</v>
      </c>
      <c r="BC23">
        <v>226.514418100006</v>
      </c>
      <c r="BE23" t="s">
        <v>112</v>
      </c>
      <c r="BF23" t="s">
        <v>113</v>
      </c>
      <c r="BG23" t="s">
        <v>105</v>
      </c>
      <c r="BH23" t="s">
        <v>106</v>
      </c>
      <c r="BI23" t="s">
        <v>106</v>
      </c>
      <c r="BJ23" t="s">
        <v>118</v>
      </c>
      <c r="BK23" t="s">
        <v>108</v>
      </c>
      <c r="BL23" t="s">
        <v>73</v>
      </c>
      <c r="BM23">
        <v>1</v>
      </c>
      <c r="BN23" t="s">
        <v>74</v>
      </c>
      <c r="BO23" t="s">
        <v>75</v>
      </c>
      <c r="BQ23" t="s">
        <v>76</v>
      </c>
      <c r="BR23">
        <v>59.986239205577299</v>
      </c>
      <c r="BS23" t="s">
        <v>77</v>
      </c>
    </row>
    <row r="24" spans="1:71" x14ac:dyDescent="0.45">
      <c r="B24">
        <v>5</v>
      </c>
      <c r="C24">
        <v>5</v>
      </c>
      <c r="D24">
        <v>0</v>
      </c>
      <c r="G24" t="s">
        <v>119</v>
      </c>
      <c r="H24" t="s">
        <v>82</v>
      </c>
      <c r="I24" t="s">
        <v>94</v>
      </c>
      <c r="J24" s="3" t="s">
        <v>82</v>
      </c>
      <c r="K24" t="s">
        <v>112</v>
      </c>
      <c r="L24" t="s">
        <v>113</v>
      </c>
      <c r="M24" t="s">
        <v>105</v>
      </c>
      <c r="N24" t="s">
        <v>106</v>
      </c>
      <c r="O24" t="s">
        <v>106</v>
      </c>
      <c r="P24" t="s">
        <v>120</v>
      </c>
      <c r="Q24" t="s">
        <v>108</v>
      </c>
      <c r="V24">
        <v>0</v>
      </c>
      <c r="W24">
        <v>5</v>
      </c>
      <c r="X24">
        <v>5</v>
      </c>
      <c r="Y24">
        <v>6</v>
      </c>
      <c r="Z24">
        <v>226.53366090008001</v>
      </c>
      <c r="AW24">
        <v>226.51997010014</v>
      </c>
      <c r="AX24">
        <v>226.53366090008001</v>
      </c>
      <c r="AY24">
        <v>226.53366090008001</v>
      </c>
      <c r="AZ24">
        <v>226.53366090008001</v>
      </c>
      <c r="BA24">
        <v>5.3786998614668803E-3</v>
      </c>
      <c r="BB24">
        <v>236.546472300076</v>
      </c>
      <c r="BC24">
        <v>238.21445640013499</v>
      </c>
      <c r="BD24" t="s">
        <v>82</v>
      </c>
      <c r="BE24" t="s">
        <v>112</v>
      </c>
      <c r="BF24" t="s">
        <v>113</v>
      </c>
      <c r="BG24" t="s">
        <v>105</v>
      </c>
      <c r="BH24" t="s">
        <v>106</v>
      </c>
      <c r="BI24" t="s">
        <v>106</v>
      </c>
      <c r="BJ24" t="s">
        <v>120</v>
      </c>
      <c r="BK24" t="s">
        <v>108</v>
      </c>
      <c r="BL24" t="s">
        <v>73</v>
      </c>
      <c r="BM24">
        <v>1</v>
      </c>
      <c r="BN24" t="s">
        <v>74</v>
      </c>
      <c r="BO24" t="s">
        <v>75</v>
      </c>
      <c r="BQ24" t="s">
        <v>76</v>
      </c>
      <c r="BR24">
        <v>59.986239205577299</v>
      </c>
      <c r="BS24" t="s">
        <v>77</v>
      </c>
    </row>
    <row r="25" spans="1:71" x14ac:dyDescent="0.45">
      <c r="B25">
        <v>6</v>
      </c>
      <c r="C25">
        <v>6</v>
      </c>
      <c r="D25">
        <v>0</v>
      </c>
      <c r="G25" t="s">
        <v>121</v>
      </c>
      <c r="H25" t="s">
        <v>122</v>
      </c>
      <c r="I25" t="s">
        <v>111</v>
      </c>
      <c r="J25" t="s">
        <v>123</v>
      </c>
      <c r="K25" t="s">
        <v>124</v>
      </c>
      <c r="L25" t="s">
        <v>125</v>
      </c>
      <c r="M25" t="s">
        <v>105</v>
      </c>
      <c r="N25" t="s">
        <v>106</v>
      </c>
      <c r="O25" t="s">
        <v>106</v>
      </c>
      <c r="P25" t="s">
        <v>126</v>
      </c>
      <c r="Q25" t="s">
        <v>108</v>
      </c>
      <c r="V25">
        <v>0</v>
      </c>
      <c r="W25">
        <v>6</v>
      </c>
      <c r="X25">
        <v>6</v>
      </c>
      <c r="Y25">
        <v>15</v>
      </c>
      <c r="Z25">
        <v>238.233526400057</v>
      </c>
      <c r="AW25">
        <v>238.219768699957</v>
      </c>
      <c r="AX25">
        <v>238.233526400057</v>
      </c>
      <c r="AY25">
        <v>238.233526400057</v>
      </c>
      <c r="AZ25">
        <v>238.233526400057</v>
      </c>
      <c r="BA25">
        <v>5.1186999771744004E-3</v>
      </c>
      <c r="BB25">
        <v>248.246119300136</v>
      </c>
      <c r="BC25">
        <v>293.96444220002701</v>
      </c>
      <c r="BD25" t="s">
        <v>123</v>
      </c>
      <c r="BE25" t="s">
        <v>124</v>
      </c>
      <c r="BF25" t="s">
        <v>125</v>
      </c>
      <c r="BG25" t="s">
        <v>105</v>
      </c>
      <c r="BH25" t="s">
        <v>106</v>
      </c>
      <c r="BI25" t="s">
        <v>106</v>
      </c>
      <c r="BJ25" t="s">
        <v>126</v>
      </c>
      <c r="BK25" t="s">
        <v>108</v>
      </c>
      <c r="BL25" t="s">
        <v>73</v>
      </c>
      <c r="BM25">
        <v>1</v>
      </c>
      <c r="BN25" t="s">
        <v>74</v>
      </c>
      <c r="BO25" t="s">
        <v>75</v>
      </c>
      <c r="BQ25" t="s">
        <v>76</v>
      </c>
      <c r="BR25">
        <v>59.986239205577299</v>
      </c>
      <c r="BS25" t="s">
        <v>77</v>
      </c>
    </row>
    <row r="26" spans="1:71" ht="28.5" x14ac:dyDescent="0.45">
      <c r="B26">
        <v>7</v>
      </c>
      <c r="C26">
        <v>7</v>
      </c>
      <c r="D26">
        <v>0</v>
      </c>
      <c r="G26" t="s">
        <v>127</v>
      </c>
      <c r="H26" t="s">
        <v>81</v>
      </c>
      <c r="I26" t="s">
        <v>94</v>
      </c>
      <c r="J26" s="5" t="s">
        <v>128</v>
      </c>
      <c r="K26" t="s">
        <v>129</v>
      </c>
      <c r="L26" t="s">
        <v>130</v>
      </c>
      <c r="M26" t="s">
        <v>105</v>
      </c>
      <c r="N26" t="s">
        <v>106</v>
      </c>
      <c r="O26" t="s">
        <v>106</v>
      </c>
      <c r="P26" t="s">
        <v>131</v>
      </c>
      <c r="Q26" t="s">
        <v>108</v>
      </c>
      <c r="V26">
        <v>0</v>
      </c>
      <c r="W26">
        <v>7</v>
      </c>
      <c r="X26">
        <v>7</v>
      </c>
      <c r="Y26">
        <v>8</v>
      </c>
      <c r="Z26">
        <v>293.98267589998397</v>
      </c>
      <c r="AW26">
        <v>293.96984159993002</v>
      </c>
      <c r="AX26">
        <v>293.98267589998397</v>
      </c>
      <c r="AY26">
        <v>293.98267589998397</v>
      </c>
      <c r="AZ26">
        <v>293.98267589998397</v>
      </c>
      <c r="BA26">
        <v>5.2314000204205504E-3</v>
      </c>
      <c r="BC26">
        <v>300.36434180010099</v>
      </c>
      <c r="BD26" s="1" t="s">
        <v>128</v>
      </c>
      <c r="BE26" t="s">
        <v>129</v>
      </c>
      <c r="BF26" t="s">
        <v>130</v>
      </c>
      <c r="BG26" t="s">
        <v>105</v>
      </c>
      <c r="BH26" t="s">
        <v>106</v>
      </c>
      <c r="BI26" t="s">
        <v>106</v>
      </c>
      <c r="BJ26" t="s">
        <v>131</v>
      </c>
      <c r="BK26" t="s">
        <v>108</v>
      </c>
      <c r="BL26" t="s">
        <v>73</v>
      </c>
      <c r="BM26">
        <v>1</v>
      </c>
      <c r="BN26" t="s">
        <v>74</v>
      </c>
      <c r="BO26" t="s">
        <v>75</v>
      </c>
      <c r="BQ26" t="s">
        <v>76</v>
      </c>
      <c r="BR26">
        <v>59.986239205577299</v>
      </c>
      <c r="BS26" t="s">
        <v>77</v>
      </c>
    </row>
    <row r="27" spans="1:71" x14ac:dyDescent="0.45">
      <c r="B27">
        <v>8</v>
      </c>
      <c r="C27">
        <v>8</v>
      </c>
      <c r="D27">
        <v>0</v>
      </c>
      <c r="G27" t="s">
        <v>132</v>
      </c>
      <c r="H27" t="s">
        <v>84</v>
      </c>
      <c r="I27" t="s">
        <v>94</v>
      </c>
      <c r="J27" t="s">
        <v>133</v>
      </c>
      <c r="K27" t="s">
        <v>134</v>
      </c>
      <c r="L27" t="s">
        <v>135</v>
      </c>
      <c r="M27" t="s">
        <v>105</v>
      </c>
      <c r="N27" t="s">
        <v>106</v>
      </c>
      <c r="O27" t="s">
        <v>106</v>
      </c>
      <c r="P27" t="s">
        <v>136</v>
      </c>
      <c r="Q27" t="s">
        <v>108</v>
      </c>
      <c r="V27">
        <v>0</v>
      </c>
      <c r="W27">
        <v>8</v>
      </c>
      <c r="X27">
        <v>8</v>
      </c>
      <c r="Y27">
        <v>12</v>
      </c>
      <c r="Z27">
        <v>300.38457760005201</v>
      </c>
      <c r="AW27">
        <v>300.37016810011102</v>
      </c>
      <c r="AX27">
        <v>300.38457760005201</v>
      </c>
      <c r="AY27">
        <v>300.38457760005201</v>
      </c>
      <c r="AZ27">
        <v>300.38457760005201</v>
      </c>
      <c r="BA27">
        <v>5.6379002053290597E-3</v>
      </c>
      <c r="BB27">
        <v>310.39618499996101</v>
      </c>
      <c r="BC27">
        <v>312.396849300013</v>
      </c>
      <c r="BD27" t="s">
        <v>133</v>
      </c>
      <c r="BE27" t="s">
        <v>134</v>
      </c>
      <c r="BF27" t="s">
        <v>135</v>
      </c>
      <c r="BG27" t="s">
        <v>105</v>
      </c>
      <c r="BH27" t="s">
        <v>106</v>
      </c>
      <c r="BI27" t="s">
        <v>106</v>
      </c>
      <c r="BJ27" t="s">
        <v>136</v>
      </c>
      <c r="BK27" t="s">
        <v>108</v>
      </c>
      <c r="BL27" t="s">
        <v>73</v>
      </c>
      <c r="BM27">
        <v>1</v>
      </c>
      <c r="BN27" t="s">
        <v>74</v>
      </c>
      <c r="BO27" t="s">
        <v>75</v>
      </c>
      <c r="BQ27" t="s">
        <v>76</v>
      </c>
      <c r="BR27">
        <v>59.986239205577299</v>
      </c>
      <c r="BS27" t="s">
        <v>77</v>
      </c>
    </row>
    <row r="28" spans="1:71" x14ac:dyDescent="0.45">
      <c r="B28">
        <v>9</v>
      </c>
      <c r="C28">
        <v>9</v>
      </c>
      <c r="D28">
        <v>0</v>
      </c>
      <c r="G28" t="s">
        <v>137</v>
      </c>
      <c r="H28" t="s">
        <v>85</v>
      </c>
      <c r="I28" t="s">
        <v>94</v>
      </c>
      <c r="J28" s="3" t="s">
        <v>85</v>
      </c>
      <c r="K28" t="s">
        <v>134</v>
      </c>
      <c r="L28" t="s">
        <v>135</v>
      </c>
      <c r="M28" t="s">
        <v>105</v>
      </c>
      <c r="N28" t="s">
        <v>106</v>
      </c>
      <c r="O28" t="s">
        <v>106</v>
      </c>
      <c r="P28" t="s">
        <v>138</v>
      </c>
      <c r="Q28" t="s">
        <v>108</v>
      </c>
      <c r="V28">
        <v>0</v>
      </c>
      <c r="W28">
        <v>9</v>
      </c>
      <c r="X28">
        <v>9</v>
      </c>
      <c r="Y28">
        <v>9</v>
      </c>
      <c r="Z28">
        <v>312.41232999996203</v>
      </c>
      <c r="AW28">
        <v>312.40077610011201</v>
      </c>
      <c r="AX28">
        <v>312.41232999996203</v>
      </c>
      <c r="AY28">
        <v>312.41232999996203</v>
      </c>
      <c r="AZ28">
        <v>312.41232999996203</v>
      </c>
      <c r="BA28">
        <v>3.7986999377608299E-3</v>
      </c>
      <c r="BC28">
        <v>317.23060970008299</v>
      </c>
      <c r="BD28" t="s">
        <v>85</v>
      </c>
      <c r="BE28" t="s">
        <v>134</v>
      </c>
      <c r="BF28" t="s">
        <v>135</v>
      </c>
      <c r="BG28" t="s">
        <v>105</v>
      </c>
      <c r="BH28" t="s">
        <v>106</v>
      </c>
      <c r="BI28" t="s">
        <v>106</v>
      </c>
      <c r="BJ28" t="s">
        <v>138</v>
      </c>
      <c r="BK28" t="s">
        <v>108</v>
      </c>
      <c r="BL28" t="s">
        <v>73</v>
      </c>
      <c r="BM28">
        <v>1</v>
      </c>
      <c r="BN28" t="s">
        <v>74</v>
      </c>
      <c r="BO28" t="s">
        <v>75</v>
      </c>
      <c r="BQ28" t="s">
        <v>76</v>
      </c>
      <c r="BR28">
        <v>59.986239205577299</v>
      </c>
      <c r="BS28" t="s">
        <v>77</v>
      </c>
    </row>
    <row r="29" spans="1:71" x14ac:dyDescent="0.45">
      <c r="B29">
        <v>10</v>
      </c>
      <c r="C29">
        <v>10</v>
      </c>
      <c r="D29">
        <v>0</v>
      </c>
      <c r="G29" t="s">
        <v>139</v>
      </c>
      <c r="H29" t="s">
        <v>80</v>
      </c>
      <c r="I29" t="s">
        <v>94</v>
      </c>
      <c r="J29" t="s">
        <v>140</v>
      </c>
      <c r="K29" t="s">
        <v>141</v>
      </c>
      <c r="L29" t="s">
        <v>142</v>
      </c>
      <c r="M29" t="s">
        <v>143</v>
      </c>
      <c r="N29" t="s">
        <v>144</v>
      </c>
      <c r="O29" t="s">
        <v>144</v>
      </c>
      <c r="P29" t="s">
        <v>145</v>
      </c>
      <c r="Q29" t="s">
        <v>146</v>
      </c>
      <c r="V29">
        <v>0</v>
      </c>
      <c r="W29">
        <v>10</v>
      </c>
      <c r="X29">
        <v>10</v>
      </c>
      <c r="Y29">
        <v>11</v>
      </c>
      <c r="Z29">
        <v>317.24863049993201</v>
      </c>
      <c r="AW29">
        <v>317.23558500013303</v>
      </c>
      <c r="AX29">
        <v>317.24863049993201</v>
      </c>
      <c r="AY29">
        <v>317.24863049993201</v>
      </c>
      <c r="AZ29">
        <v>317.24863049993201</v>
      </c>
      <c r="BA29">
        <v>4.8036999069154202E-3</v>
      </c>
      <c r="BB29">
        <v>327.26281960005798</v>
      </c>
      <c r="BC29">
        <v>436.913907000096</v>
      </c>
      <c r="BD29" t="s">
        <v>140</v>
      </c>
      <c r="BE29" t="s">
        <v>141</v>
      </c>
      <c r="BF29" t="s">
        <v>142</v>
      </c>
      <c r="BG29" t="s">
        <v>143</v>
      </c>
      <c r="BH29" t="s">
        <v>144</v>
      </c>
      <c r="BI29" t="s">
        <v>144</v>
      </c>
      <c r="BJ29" t="s">
        <v>145</v>
      </c>
      <c r="BK29" t="s">
        <v>146</v>
      </c>
      <c r="BL29" t="s">
        <v>73</v>
      </c>
      <c r="BM29">
        <v>1</v>
      </c>
      <c r="BN29" t="s">
        <v>74</v>
      </c>
      <c r="BO29" t="s">
        <v>75</v>
      </c>
      <c r="BQ29" t="s">
        <v>76</v>
      </c>
      <c r="BR29">
        <v>59.986239205577299</v>
      </c>
      <c r="BS29" t="s">
        <v>77</v>
      </c>
    </row>
    <row r="30" spans="1:71" x14ac:dyDescent="0.45">
      <c r="B30">
        <v>11</v>
      </c>
      <c r="C30">
        <v>11</v>
      </c>
      <c r="D30">
        <v>0</v>
      </c>
      <c r="G30" t="s">
        <v>147</v>
      </c>
      <c r="H30" t="s">
        <v>148</v>
      </c>
      <c r="I30" t="s">
        <v>111</v>
      </c>
      <c r="K30" t="s">
        <v>149</v>
      </c>
      <c r="L30" t="s">
        <v>150</v>
      </c>
      <c r="M30" t="s">
        <v>105</v>
      </c>
      <c r="N30" t="s">
        <v>106</v>
      </c>
      <c r="O30" t="s">
        <v>106</v>
      </c>
      <c r="P30" t="s">
        <v>151</v>
      </c>
      <c r="Q30" t="s">
        <v>108</v>
      </c>
      <c r="V30">
        <v>0</v>
      </c>
      <c r="W30">
        <v>11</v>
      </c>
      <c r="X30">
        <v>11</v>
      </c>
      <c r="Y30">
        <v>19</v>
      </c>
      <c r="Z30">
        <v>436.93523290008301</v>
      </c>
      <c r="AW30">
        <v>436.92112630000298</v>
      </c>
      <c r="AX30">
        <v>436.93523290008301</v>
      </c>
      <c r="AY30">
        <v>436.93523290008301</v>
      </c>
      <c r="AZ30">
        <v>436.93523290008301</v>
      </c>
      <c r="BA30">
        <v>6.33969996124506E-3</v>
      </c>
      <c r="BC30">
        <v>438.91254859999702</v>
      </c>
      <c r="BE30" t="s">
        <v>149</v>
      </c>
      <c r="BF30" t="s">
        <v>150</v>
      </c>
      <c r="BG30" t="s">
        <v>105</v>
      </c>
      <c r="BH30" t="s">
        <v>106</v>
      </c>
      <c r="BI30" t="s">
        <v>106</v>
      </c>
      <c r="BJ30" t="s">
        <v>151</v>
      </c>
      <c r="BK30" t="s">
        <v>108</v>
      </c>
      <c r="BL30" t="s">
        <v>73</v>
      </c>
      <c r="BM30">
        <v>1</v>
      </c>
      <c r="BN30" t="s">
        <v>74</v>
      </c>
      <c r="BO30" t="s">
        <v>75</v>
      </c>
      <c r="BQ30" t="s">
        <v>76</v>
      </c>
      <c r="BR30">
        <v>59.986239205577299</v>
      </c>
      <c r="BS30" t="s">
        <v>77</v>
      </c>
    </row>
    <row r="31" spans="1:71" x14ac:dyDescent="0.45">
      <c r="B31">
        <v>12</v>
      </c>
      <c r="C31">
        <v>12</v>
      </c>
      <c r="D31">
        <v>0</v>
      </c>
      <c r="G31" t="s">
        <v>152</v>
      </c>
      <c r="H31" t="s">
        <v>92</v>
      </c>
      <c r="I31" t="s">
        <v>94</v>
      </c>
      <c r="J31" s="3" t="s">
        <v>92</v>
      </c>
      <c r="K31" t="s">
        <v>153</v>
      </c>
      <c r="L31" t="s">
        <v>154</v>
      </c>
      <c r="M31" t="s">
        <v>105</v>
      </c>
      <c r="N31" t="s">
        <v>106</v>
      </c>
      <c r="O31" t="s">
        <v>106</v>
      </c>
      <c r="P31" t="s">
        <v>155</v>
      </c>
      <c r="Q31" t="s">
        <v>108</v>
      </c>
      <c r="V31">
        <v>0</v>
      </c>
      <c r="W31">
        <v>12</v>
      </c>
      <c r="X31">
        <v>12</v>
      </c>
      <c r="Y31">
        <v>2</v>
      </c>
      <c r="Z31">
        <v>438.928394400049</v>
      </c>
      <c r="AW31">
        <v>438.91518389992399</v>
      </c>
      <c r="AX31">
        <v>438.928394400049</v>
      </c>
      <c r="AY31">
        <v>438.928394400049</v>
      </c>
      <c r="AZ31">
        <v>438.928394400049</v>
      </c>
      <c r="BA31">
        <v>2.5309999473392898E-3</v>
      </c>
      <c r="BB31">
        <v>448.92866030009401</v>
      </c>
      <c r="BC31">
        <v>455.43072980013602</v>
      </c>
      <c r="BD31" t="s">
        <v>92</v>
      </c>
      <c r="BE31" t="s">
        <v>153</v>
      </c>
      <c r="BF31" t="s">
        <v>154</v>
      </c>
      <c r="BG31" t="s">
        <v>105</v>
      </c>
      <c r="BH31" t="s">
        <v>106</v>
      </c>
      <c r="BI31" t="s">
        <v>106</v>
      </c>
      <c r="BJ31" t="s">
        <v>155</v>
      </c>
      <c r="BK31" t="s">
        <v>108</v>
      </c>
      <c r="BL31" t="s">
        <v>73</v>
      </c>
      <c r="BM31">
        <v>1</v>
      </c>
      <c r="BN31" t="s">
        <v>74</v>
      </c>
      <c r="BO31" t="s">
        <v>75</v>
      </c>
      <c r="BQ31" t="s">
        <v>76</v>
      </c>
      <c r="BR31">
        <v>59.986239205577299</v>
      </c>
      <c r="BS31" t="s">
        <v>77</v>
      </c>
    </row>
    <row r="32" spans="1:71" x14ac:dyDescent="0.45">
      <c r="B32">
        <v>13</v>
      </c>
      <c r="C32">
        <v>13</v>
      </c>
      <c r="D32">
        <v>0</v>
      </c>
      <c r="G32" t="s">
        <v>156</v>
      </c>
      <c r="H32" t="s">
        <v>157</v>
      </c>
      <c r="I32" t="s">
        <v>111</v>
      </c>
      <c r="J32" s="4" t="s">
        <v>157</v>
      </c>
      <c r="K32" t="s">
        <v>158</v>
      </c>
      <c r="L32" t="s">
        <v>159</v>
      </c>
      <c r="M32" t="s">
        <v>105</v>
      </c>
      <c r="N32" t="s">
        <v>106</v>
      </c>
      <c r="O32" t="s">
        <v>106</v>
      </c>
      <c r="P32" t="s">
        <v>160</v>
      </c>
      <c r="Q32" t="s">
        <v>108</v>
      </c>
      <c r="V32">
        <v>0</v>
      </c>
      <c r="W32">
        <v>13</v>
      </c>
      <c r="X32">
        <v>13</v>
      </c>
      <c r="Y32">
        <v>17</v>
      </c>
      <c r="Z32">
        <v>455.45424400013798</v>
      </c>
      <c r="AW32">
        <v>455.440094199962</v>
      </c>
      <c r="AX32">
        <v>455.45424400013798</v>
      </c>
      <c r="AY32">
        <v>455.45424400013798</v>
      </c>
      <c r="AZ32">
        <v>455.45424400013798</v>
      </c>
      <c r="BA32">
        <v>9.0926000848412496E-3</v>
      </c>
      <c r="BC32">
        <v>461.91311300010398</v>
      </c>
      <c r="BD32" t="s">
        <v>157</v>
      </c>
      <c r="BE32" t="s">
        <v>158</v>
      </c>
      <c r="BF32" t="s">
        <v>159</v>
      </c>
      <c r="BG32" t="s">
        <v>105</v>
      </c>
      <c r="BH32" t="s">
        <v>106</v>
      </c>
      <c r="BI32" t="s">
        <v>106</v>
      </c>
      <c r="BJ32" t="s">
        <v>160</v>
      </c>
      <c r="BK32" t="s">
        <v>108</v>
      </c>
      <c r="BL32" t="s">
        <v>73</v>
      </c>
      <c r="BM32">
        <v>1</v>
      </c>
      <c r="BN32" t="s">
        <v>74</v>
      </c>
      <c r="BO32" t="s">
        <v>75</v>
      </c>
      <c r="BQ32" t="s">
        <v>76</v>
      </c>
      <c r="BR32">
        <v>59.986239205577299</v>
      </c>
      <c r="BS32" t="s">
        <v>77</v>
      </c>
    </row>
    <row r="33" spans="2:71" x14ac:dyDescent="0.45">
      <c r="B33">
        <v>14</v>
      </c>
      <c r="C33">
        <v>14</v>
      </c>
      <c r="D33">
        <v>0</v>
      </c>
      <c r="G33" t="s">
        <v>161</v>
      </c>
      <c r="H33" t="s">
        <v>88</v>
      </c>
      <c r="I33" t="s">
        <v>94</v>
      </c>
      <c r="J33" s="3" t="s">
        <v>88</v>
      </c>
      <c r="K33" t="s">
        <v>162</v>
      </c>
      <c r="L33" t="s">
        <v>113</v>
      </c>
      <c r="M33" t="s">
        <v>105</v>
      </c>
      <c r="N33" t="s">
        <v>106</v>
      </c>
      <c r="O33" t="s">
        <v>106</v>
      </c>
      <c r="P33" t="s">
        <v>163</v>
      </c>
      <c r="Q33" t="s">
        <v>108</v>
      </c>
      <c r="V33">
        <v>0</v>
      </c>
      <c r="W33">
        <v>14</v>
      </c>
      <c r="X33">
        <v>14</v>
      </c>
      <c r="Y33">
        <v>3</v>
      </c>
      <c r="Z33">
        <v>461.93349969992403</v>
      </c>
      <c r="AW33">
        <v>461.91915090009502</v>
      </c>
      <c r="AX33">
        <v>461.93349969992403</v>
      </c>
      <c r="AY33">
        <v>461.93349969992403</v>
      </c>
      <c r="AZ33">
        <v>461.93349969992403</v>
      </c>
      <c r="BA33">
        <v>5.8508999645709896E-3</v>
      </c>
      <c r="BB33">
        <v>471.94535490009002</v>
      </c>
      <c r="BC33">
        <v>497.145978900138</v>
      </c>
      <c r="BD33" t="s">
        <v>88</v>
      </c>
      <c r="BE33" t="s">
        <v>162</v>
      </c>
      <c r="BF33" t="s">
        <v>113</v>
      </c>
      <c r="BG33" t="s">
        <v>105</v>
      </c>
      <c r="BH33" t="s">
        <v>106</v>
      </c>
      <c r="BI33" t="s">
        <v>106</v>
      </c>
      <c r="BJ33" t="s">
        <v>163</v>
      </c>
      <c r="BK33" t="s">
        <v>108</v>
      </c>
      <c r="BL33" t="s">
        <v>73</v>
      </c>
      <c r="BM33">
        <v>1</v>
      </c>
      <c r="BN33" t="s">
        <v>74</v>
      </c>
      <c r="BO33" t="s">
        <v>75</v>
      </c>
      <c r="BQ33" t="s">
        <v>76</v>
      </c>
      <c r="BR33">
        <v>59.986239205577299</v>
      </c>
      <c r="BS33" t="s">
        <v>77</v>
      </c>
    </row>
    <row r="34" spans="2:71" x14ac:dyDescent="0.45">
      <c r="B34">
        <v>15</v>
      </c>
      <c r="C34">
        <v>15</v>
      </c>
      <c r="D34">
        <v>0</v>
      </c>
      <c r="G34" t="s">
        <v>164</v>
      </c>
      <c r="H34" t="s">
        <v>86</v>
      </c>
      <c r="I34" t="s">
        <v>94</v>
      </c>
      <c r="J34" t="s">
        <v>165</v>
      </c>
      <c r="K34" t="s">
        <v>166</v>
      </c>
      <c r="L34" t="s">
        <v>167</v>
      </c>
      <c r="M34" t="s">
        <v>105</v>
      </c>
      <c r="N34" t="s">
        <v>106</v>
      </c>
      <c r="O34" t="s">
        <v>106</v>
      </c>
      <c r="P34" t="s">
        <v>168</v>
      </c>
      <c r="Q34" t="s">
        <v>108</v>
      </c>
      <c r="V34">
        <v>0</v>
      </c>
      <c r="W34">
        <v>15</v>
      </c>
      <c r="X34">
        <v>15</v>
      </c>
      <c r="Y34">
        <v>7</v>
      </c>
      <c r="Z34">
        <v>497.16131220012898</v>
      </c>
      <c r="AW34">
        <v>497.15001510013798</v>
      </c>
      <c r="AX34">
        <v>497.16131220012898</v>
      </c>
      <c r="AY34">
        <v>497.16131220012898</v>
      </c>
      <c r="AZ34">
        <v>497.16131220012898</v>
      </c>
      <c r="BA34">
        <v>3.9009000174701201E-3</v>
      </c>
      <c r="BB34">
        <v>507.16190099995498</v>
      </c>
      <c r="BC34">
        <v>551.67972410004495</v>
      </c>
      <c r="BD34" t="s">
        <v>165</v>
      </c>
      <c r="BE34" t="s">
        <v>166</v>
      </c>
      <c r="BF34" t="s">
        <v>167</v>
      </c>
      <c r="BG34" t="s">
        <v>105</v>
      </c>
      <c r="BH34" t="s">
        <v>106</v>
      </c>
      <c r="BI34" t="s">
        <v>106</v>
      </c>
      <c r="BJ34" t="s">
        <v>168</v>
      </c>
      <c r="BK34" t="s">
        <v>108</v>
      </c>
      <c r="BL34" t="s">
        <v>73</v>
      </c>
      <c r="BM34">
        <v>1</v>
      </c>
      <c r="BN34" t="s">
        <v>74</v>
      </c>
      <c r="BO34" t="s">
        <v>75</v>
      </c>
      <c r="BQ34" t="s">
        <v>76</v>
      </c>
      <c r="BR34">
        <v>59.986239205577299</v>
      </c>
      <c r="BS34" t="s">
        <v>77</v>
      </c>
    </row>
    <row r="35" spans="2:71" x14ac:dyDescent="0.45">
      <c r="B35">
        <v>16</v>
      </c>
      <c r="C35">
        <v>16</v>
      </c>
      <c r="D35">
        <v>0</v>
      </c>
      <c r="G35" t="s">
        <v>169</v>
      </c>
      <c r="H35" t="s">
        <v>91</v>
      </c>
      <c r="I35" t="s">
        <v>94</v>
      </c>
      <c r="J35" t="s">
        <v>170</v>
      </c>
      <c r="K35" t="s">
        <v>171</v>
      </c>
      <c r="L35" t="s">
        <v>172</v>
      </c>
      <c r="M35" t="s">
        <v>105</v>
      </c>
      <c r="N35" t="s">
        <v>106</v>
      </c>
      <c r="O35" t="s">
        <v>106</v>
      </c>
      <c r="P35" t="s">
        <v>173</v>
      </c>
      <c r="Q35" t="s">
        <v>108</v>
      </c>
      <c r="V35">
        <v>0</v>
      </c>
      <c r="W35">
        <v>16</v>
      </c>
      <c r="X35">
        <v>16</v>
      </c>
      <c r="Y35">
        <v>13</v>
      </c>
      <c r="Z35">
        <v>551.69818489998499</v>
      </c>
      <c r="AW35">
        <v>551.68436469999097</v>
      </c>
      <c r="AX35">
        <v>551.69818489998499</v>
      </c>
      <c r="AY35">
        <v>551.69818489998499</v>
      </c>
      <c r="AZ35">
        <v>551.69818489998499</v>
      </c>
      <c r="BA35">
        <v>4.4374000281095496E-3</v>
      </c>
      <c r="BC35">
        <v>557.26276680012199</v>
      </c>
      <c r="BD35" t="s">
        <v>170</v>
      </c>
      <c r="BE35" t="s">
        <v>171</v>
      </c>
      <c r="BF35" t="s">
        <v>172</v>
      </c>
      <c r="BG35" t="s">
        <v>105</v>
      </c>
      <c r="BH35" t="s">
        <v>106</v>
      </c>
      <c r="BI35" t="s">
        <v>106</v>
      </c>
      <c r="BJ35" t="s">
        <v>173</v>
      </c>
      <c r="BK35" t="s">
        <v>108</v>
      </c>
      <c r="BL35" t="s">
        <v>73</v>
      </c>
      <c r="BM35">
        <v>1</v>
      </c>
      <c r="BN35" t="s">
        <v>74</v>
      </c>
      <c r="BO35" t="s">
        <v>75</v>
      </c>
      <c r="BQ35" t="s">
        <v>76</v>
      </c>
      <c r="BR35">
        <v>59.986239205577299</v>
      </c>
      <c r="BS35" t="s">
        <v>77</v>
      </c>
    </row>
    <row r="36" spans="2:71" x14ac:dyDescent="0.45">
      <c r="B36">
        <v>17</v>
      </c>
      <c r="C36">
        <v>17</v>
      </c>
      <c r="D36">
        <v>0</v>
      </c>
      <c r="G36" t="s">
        <v>174</v>
      </c>
      <c r="H36" t="s">
        <v>90</v>
      </c>
      <c r="I36" t="s">
        <v>94</v>
      </c>
      <c r="J36" s="3" t="s">
        <v>90</v>
      </c>
      <c r="K36" t="s">
        <v>175</v>
      </c>
      <c r="L36" t="s">
        <v>176</v>
      </c>
      <c r="M36" t="s">
        <v>98</v>
      </c>
      <c r="N36" t="s">
        <v>99</v>
      </c>
      <c r="O36" t="s">
        <v>99</v>
      </c>
      <c r="P36" t="s">
        <v>177</v>
      </c>
      <c r="Q36" t="s">
        <v>101</v>
      </c>
      <c r="V36">
        <v>0</v>
      </c>
      <c r="W36">
        <v>17</v>
      </c>
      <c r="X36">
        <v>17</v>
      </c>
      <c r="Y36">
        <v>10</v>
      </c>
      <c r="Z36">
        <v>557.280732200015</v>
      </c>
      <c r="AW36">
        <v>557.26768880011502</v>
      </c>
      <c r="AX36">
        <v>557.280732200015</v>
      </c>
      <c r="AY36">
        <v>557.280732200015</v>
      </c>
      <c r="AZ36">
        <v>557.280732200015</v>
      </c>
      <c r="BA36">
        <v>4.7544999979436398E-3</v>
      </c>
      <c r="BB36">
        <v>567.29434469994101</v>
      </c>
      <c r="BC36">
        <v>597.17986340005803</v>
      </c>
      <c r="BD36" t="s">
        <v>90</v>
      </c>
      <c r="BE36" t="s">
        <v>175</v>
      </c>
      <c r="BF36" t="s">
        <v>176</v>
      </c>
      <c r="BG36" t="s">
        <v>98</v>
      </c>
      <c r="BH36" t="s">
        <v>99</v>
      </c>
      <c r="BI36" t="s">
        <v>99</v>
      </c>
      <c r="BJ36" t="s">
        <v>177</v>
      </c>
      <c r="BK36" t="s">
        <v>101</v>
      </c>
      <c r="BL36" t="s">
        <v>73</v>
      </c>
      <c r="BM36">
        <v>1</v>
      </c>
      <c r="BN36" t="s">
        <v>74</v>
      </c>
      <c r="BO36" t="s">
        <v>75</v>
      </c>
      <c r="BQ36" t="s">
        <v>76</v>
      </c>
      <c r="BR36">
        <v>59.986239205577299</v>
      </c>
      <c r="BS36" t="s">
        <v>77</v>
      </c>
    </row>
    <row r="37" spans="2:71" x14ac:dyDescent="0.45">
      <c r="B37">
        <v>18</v>
      </c>
      <c r="C37">
        <v>18</v>
      </c>
      <c r="D37">
        <v>0</v>
      </c>
      <c r="G37" t="s">
        <v>178</v>
      </c>
      <c r="H37" t="s">
        <v>179</v>
      </c>
      <c r="I37" t="s">
        <v>111</v>
      </c>
      <c r="J37" s="4" t="s">
        <v>179</v>
      </c>
      <c r="K37" t="s">
        <v>180</v>
      </c>
      <c r="L37" t="s">
        <v>125</v>
      </c>
      <c r="M37" t="s">
        <v>105</v>
      </c>
      <c r="N37" t="s">
        <v>106</v>
      </c>
      <c r="O37" t="s">
        <v>106</v>
      </c>
      <c r="P37" t="s">
        <v>181</v>
      </c>
      <c r="Q37" t="s">
        <v>108</v>
      </c>
      <c r="V37">
        <v>0</v>
      </c>
      <c r="W37">
        <v>18</v>
      </c>
      <c r="X37">
        <v>18</v>
      </c>
      <c r="Y37">
        <v>16</v>
      </c>
      <c r="Z37">
        <v>597.19841930014002</v>
      </c>
      <c r="AW37">
        <v>597.18555060005701</v>
      </c>
      <c r="AX37">
        <v>597.19841930014002</v>
      </c>
      <c r="AY37">
        <v>597.19841930014002</v>
      </c>
      <c r="AZ37">
        <v>597.19841930014002</v>
      </c>
      <c r="BA37">
        <v>5.4423999972641399E-3</v>
      </c>
      <c r="BC37">
        <v>603.27959210006497</v>
      </c>
      <c r="BD37" t="s">
        <v>179</v>
      </c>
      <c r="BE37" t="s">
        <v>180</v>
      </c>
      <c r="BF37" t="s">
        <v>125</v>
      </c>
      <c r="BG37" t="s">
        <v>105</v>
      </c>
      <c r="BH37" t="s">
        <v>106</v>
      </c>
      <c r="BI37" t="s">
        <v>106</v>
      </c>
      <c r="BJ37" t="s">
        <v>181</v>
      </c>
      <c r="BK37" t="s">
        <v>108</v>
      </c>
      <c r="BL37" t="s">
        <v>73</v>
      </c>
      <c r="BM37">
        <v>1</v>
      </c>
      <c r="BN37" t="s">
        <v>74</v>
      </c>
      <c r="BO37" t="s">
        <v>75</v>
      </c>
      <c r="BQ37" t="s">
        <v>76</v>
      </c>
      <c r="BR37">
        <v>59.986239205577299</v>
      </c>
      <c r="BS37" t="s">
        <v>77</v>
      </c>
    </row>
    <row r="38" spans="2:71" x14ac:dyDescent="0.45">
      <c r="B38">
        <v>19</v>
      </c>
      <c r="C38">
        <v>19</v>
      </c>
      <c r="D38">
        <v>0</v>
      </c>
      <c r="G38" t="s">
        <v>182</v>
      </c>
      <c r="H38" t="s">
        <v>78</v>
      </c>
      <c r="I38" t="s">
        <v>94</v>
      </c>
      <c r="J38" s="3" t="s">
        <v>78</v>
      </c>
      <c r="K38" t="s">
        <v>180</v>
      </c>
      <c r="L38" t="s">
        <v>125</v>
      </c>
      <c r="M38" t="s">
        <v>105</v>
      </c>
      <c r="N38" t="s">
        <v>106</v>
      </c>
      <c r="O38" t="s">
        <v>106</v>
      </c>
      <c r="P38" t="s">
        <v>183</v>
      </c>
      <c r="Q38" t="s">
        <v>108</v>
      </c>
      <c r="V38">
        <v>0</v>
      </c>
      <c r="W38">
        <v>19</v>
      </c>
      <c r="X38">
        <v>19</v>
      </c>
      <c r="Y38">
        <v>0</v>
      </c>
      <c r="Z38">
        <v>603.30029539996701</v>
      </c>
      <c r="AW38">
        <v>603.28456529998198</v>
      </c>
      <c r="AX38">
        <v>603.30029539996701</v>
      </c>
      <c r="AY38">
        <v>603.30029539996701</v>
      </c>
      <c r="AZ38">
        <v>603.30029539996701</v>
      </c>
      <c r="BA38">
        <v>4.8062999267131003E-3</v>
      </c>
      <c r="BC38">
        <v>611.295294899959</v>
      </c>
      <c r="BD38" t="s">
        <v>78</v>
      </c>
      <c r="BE38" t="s">
        <v>180</v>
      </c>
      <c r="BF38" t="s">
        <v>125</v>
      </c>
      <c r="BG38" t="s">
        <v>105</v>
      </c>
      <c r="BH38" t="s">
        <v>106</v>
      </c>
      <c r="BI38" t="s">
        <v>106</v>
      </c>
      <c r="BJ38" t="s">
        <v>183</v>
      </c>
      <c r="BK38" t="s">
        <v>108</v>
      </c>
      <c r="BL38" t="s">
        <v>73</v>
      </c>
      <c r="BM38">
        <v>1</v>
      </c>
      <c r="BN38" t="s">
        <v>74</v>
      </c>
      <c r="BO38" t="s">
        <v>75</v>
      </c>
      <c r="BQ38" t="s">
        <v>76</v>
      </c>
      <c r="BR38">
        <v>59.986239205577299</v>
      </c>
      <c r="BS38" t="s">
        <v>77</v>
      </c>
    </row>
    <row r="41" spans="2:71" x14ac:dyDescent="0.45">
      <c r="G41" s="2" t="s">
        <v>184</v>
      </c>
      <c r="H41" s="2"/>
      <c r="I41" s="2"/>
      <c r="J41">
        <v>9</v>
      </c>
      <c r="K41">
        <f>9/15</f>
        <v>0.6</v>
      </c>
    </row>
    <row r="42" spans="2:71" x14ac:dyDescent="0.45">
      <c r="G42" s="2" t="s">
        <v>185</v>
      </c>
      <c r="H42" s="2"/>
      <c r="I42" s="2"/>
      <c r="J42">
        <v>3</v>
      </c>
      <c r="K42">
        <f>3/5</f>
        <v>0.6</v>
      </c>
    </row>
    <row r="44" spans="2:71" x14ac:dyDescent="0.45">
      <c r="G44" s="2" t="s">
        <v>186</v>
      </c>
      <c r="H44" s="2"/>
      <c r="I44" s="2"/>
      <c r="J44">
        <f>K41-K42</f>
        <v>0</v>
      </c>
    </row>
  </sheetData>
  <mergeCells count="3">
    <mergeCell ref="G41:I41"/>
    <mergeCell ref="G42:I42"/>
    <mergeCell ref="G44:I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1_word_priming_2025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Ruhi Mehta</cp:lastModifiedBy>
  <dcterms:created xsi:type="dcterms:W3CDTF">2025-10-15T17:24:09Z</dcterms:created>
  <dcterms:modified xsi:type="dcterms:W3CDTF">2025-10-15T17:33:05Z</dcterms:modified>
</cp:coreProperties>
</file>