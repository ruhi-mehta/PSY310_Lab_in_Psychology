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SY310\Orientation_discrimination\data\"/>
    </mc:Choice>
  </mc:AlternateContent>
  <xr:revisionPtr revIDLastSave="0" documentId="13_ncr:1_{B0198539-5E3C-43D4-A5C7-925E9EFB2FCF}" xr6:coauthVersionLast="47" xr6:coauthVersionMax="47" xr10:uidLastSave="{00000000-0000-0000-0000-000000000000}"/>
  <bookViews>
    <workbookView xWindow="-98" yWindow="-98" windowWidth="24196" windowHeight="14476" xr2:uid="{A4967EB2-73B5-4213-8915-333BF4C6B2BA}"/>
  </bookViews>
  <sheets>
    <sheet name="participant_1_orientation_discr" sheetId="1" r:id="rId1"/>
  </sheets>
  <calcPr calcId="191029"/>
</workbook>
</file>

<file path=xl/calcChain.xml><?xml version="1.0" encoding="utf-8"?>
<calcChain xmlns="http://schemas.openxmlformats.org/spreadsheetml/2006/main">
  <c r="G19" i="1" l="1"/>
  <c r="G18" i="1"/>
  <c r="G16" i="1"/>
  <c r="G15" i="1"/>
  <c r="G12" i="1"/>
  <c r="G11" i="1"/>
  <c r="G10" i="1"/>
  <c r="G9" i="1"/>
</calcChain>
</file>

<file path=xl/sharedStrings.xml><?xml version="1.0" encoding="utf-8"?>
<sst xmlns="http://schemas.openxmlformats.org/spreadsheetml/2006/main" count="120" uniqueCount="19">
  <si>
    <t>tilt</t>
  </si>
  <si>
    <t>key_resp.keys</t>
  </si>
  <si>
    <t>key_resp.corr</t>
  </si>
  <si>
    <t>down</t>
  </si>
  <si>
    <t>up</t>
  </si>
  <si>
    <t>hit =</t>
  </si>
  <si>
    <t>miss =</t>
  </si>
  <si>
    <t>false alarm =</t>
  </si>
  <si>
    <t>correct rejection =</t>
  </si>
  <si>
    <t>Excel formula used to count:</t>
  </si>
  <si>
    <t>countifs(tilt = 0 and key_resp.corr = 1)</t>
  </si>
  <si>
    <t>countifs(tilt = 0 and key_resp.corr = 0)</t>
  </si>
  <si>
    <t>countifs(tilt &gt; 0 or tilt &lt; 0 and key_resp.corr = 0)</t>
  </si>
  <si>
    <t>countifs(tilt &gt; 0 or tilt &lt; 0 and key_resp.corr = 1)</t>
  </si>
  <si>
    <t>correct rejections =</t>
  </si>
  <si>
    <t>P(hit) =</t>
  </si>
  <si>
    <t>P(false alarm) =</t>
  </si>
  <si>
    <t>d prime =</t>
  </si>
  <si>
    <t>criterion 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</si>
</sst>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left"/>
    </xf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F2311-4B78-44F6-970F-3AC25D3E49BA}">
  <dimension ref="A1:K102"/>
  <sheetViews>
    <sheetView tabSelected="1" workbookViewId="0">
      <selection activeCell="J16" sqref="J16"/>
    </sheetView>
  </sheetViews>
  <sheetFormatPr defaultRowHeight="14.25" x14ac:dyDescent="0.45"/>
  <cols>
    <col min="2" max="2" width="12.6640625" customWidth="1"/>
    <col min="3" max="3" width="13.9296875" customWidth="1"/>
    <col min="6" max="6" width="16.53125" customWidth="1"/>
  </cols>
  <sheetData>
    <row r="1" spans="1:11" x14ac:dyDescent="0.45">
      <c r="A1" t="s">
        <v>0</v>
      </c>
      <c r="B1" t="s">
        <v>1</v>
      </c>
      <c r="C1" t="s">
        <v>2</v>
      </c>
    </row>
    <row r="2" spans="1:11" x14ac:dyDescent="0.45">
      <c r="F2" t="s">
        <v>9</v>
      </c>
    </row>
    <row r="3" spans="1:11" x14ac:dyDescent="0.45">
      <c r="A3">
        <v>-4</v>
      </c>
      <c r="B3" t="s">
        <v>3</v>
      </c>
      <c r="C3">
        <v>1</v>
      </c>
      <c r="F3" t="s">
        <v>5</v>
      </c>
      <c r="G3" s="1" t="s">
        <v>10</v>
      </c>
      <c r="H3" s="1"/>
      <c r="I3" s="1"/>
      <c r="J3" s="1"/>
      <c r="K3" s="1"/>
    </row>
    <row r="4" spans="1:11" x14ac:dyDescent="0.45">
      <c r="A4">
        <v>1</v>
      </c>
      <c r="B4" t="s">
        <v>3</v>
      </c>
      <c r="C4">
        <v>1</v>
      </c>
      <c r="F4" t="s">
        <v>6</v>
      </c>
      <c r="G4" s="1" t="s">
        <v>11</v>
      </c>
      <c r="H4" s="1"/>
      <c r="I4" s="1"/>
      <c r="J4" s="1"/>
      <c r="K4" s="1"/>
    </row>
    <row r="5" spans="1:11" x14ac:dyDescent="0.45">
      <c r="A5">
        <v>3</v>
      </c>
      <c r="B5" t="s">
        <v>3</v>
      </c>
      <c r="C5">
        <v>1</v>
      </c>
      <c r="F5" t="s">
        <v>7</v>
      </c>
      <c r="G5" s="1" t="s">
        <v>12</v>
      </c>
      <c r="H5" s="1"/>
      <c r="I5" s="1"/>
      <c r="J5" s="1"/>
      <c r="K5" s="1"/>
    </row>
    <row r="6" spans="1:11" x14ac:dyDescent="0.45">
      <c r="A6">
        <v>0</v>
      </c>
      <c r="B6" t="s">
        <v>4</v>
      </c>
      <c r="C6">
        <v>1</v>
      </c>
      <c r="F6" t="s">
        <v>8</v>
      </c>
      <c r="G6" s="1" t="s">
        <v>13</v>
      </c>
      <c r="H6" s="1"/>
      <c r="I6" s="1"/>
      <c r="J6" s="1"/>
      <c r="K6" s="1"/>
    </row>
    <row r="7" spans="1:11" x14ac:dyDescent="0.45">
      <c r="A7">
        <v>4</v>
      </c>
      <c r="B7" t="s">
        <v>3</v>
      </c>
      <c r="C7">
        <v>1</v>
      </c>
    </row>
    <row r="8" spans="1:11" x14ac:dyDescent="0.45">
      <c r="A8">
        <v>0</v>
      </c>
      <c r="B8" t="s">
        <v>4</v>
      </c>
      <c r="C8">
        <v>1</v>
      </c>
    </row>
    <row r="9" spans="1:11" x14ac:dyDescent="0.45">
      <c r="A9">
        <v>0</v>
      </c>
      <c r="B9" t="s">
        <v>3</v>
      </c>
      <c r="C9">
        <v>0</v>
      </c>
      <c r="F9" s="2" t="s">
        <v>5</v>
      </c>
      <c r="G9">
        <f>COUNTIFS(A3:A102, "0", C3:C102, "1")</f>
        <v>37</v>
      </c>
    </row>
    <row r="10" spans="1:11" x14ac:dyDescent="0.45">
      <c r="A10">
        <v>0</v>
      </c>
      <c r="B10" t="s">
        <v>3</v>
      </c>
      <c r="C10">
        <v>0</v>
      </c>
      <c r="F10" s="2" t="s">
        <v>6</v>
      </c>
      <c r="G10">
        <f>COUNTIFS(A3:A102, "0", C3:C102, "0")</f>
        <v>12</v>
      </c>
    </row>
    <row r="11" spans="1:11" x14ac:dyDescent="0.45">
      <c r="A11">
        <v>0</v>
      </c>
      <c r="B11" t="s">
        <v>4</v>
      </c>
      <c r="C11">
        <v>1</v>
      </c>
      <c r="F11" s="2" t="s">
        <v>7</v>
      </c>
      <c r="G11">
        <f>SUM(COUNTIFS(A3:A102, "&gt;0", C3:C102, "0"), COUNTIFS(A3:A102, "&lt;0", C3:C102, "0"))</f>
        <v>6</v>
      </c>
    </row>
    <row r="12" spans="1:11" x14ac:dyDescent="0.45">
      <c r="A12">
        <v>-4</v>
      </c>
      <c r="B12" t="s">
        <v>3</v>
      </c>
      <c r="C12">
        <v>1</v>
      </c>
      <c r="F12" s="2" t="s">
        <v>14</v>
      </c>
      <c r="G12">
        <f>SUM(COUNTIFS(A3:A102, "&gt;0", C3:C102, "1"), COUNTIFS(A3:A102, "&lt;0", C3:C102, "1"))</f>
        <v>45</v>
      </c>
    </row>
    <row r="13" spans="1:11" x14ac:dyDescent="0.45">
      <c r="A13">
        <v>3</v>
      </c>
      <c r="B13" t="s">
        <v>3</v>
      </c>
      <c r="C13">
        <v>1</v>
      </c>
    </row>
    <row r="14" spans="1:11" x14ac:dyDescent="0.45">
      <c r="A14">
        <v>0</v>
      </c>
      <c r="B14" t="s">
        <v>4</v>
      </c>
      <c r="C14">
        <v>1</v>
      </c>
    </row>
    <row r="15" spans="1:11" x14ac:dyDescent="0.45">
      <c r="A15">
        <v>-4</v>
      </c>
      <c r="B15" t="s">
        <v>3</v>
      </c>
      <c r="C15">
        <v>1</v>
      </c>
      <c r="F15" s="2" t="s">
        <v>15</v>
      </c>
      <c r="G15">
        <f>(G9/(G9+G10))</f>
        <v>0.75510204081632648</v>
      </c>
    </row>
    <row r="16" spans="1:11" x14ac:dyDescent="0.45">
      <c r="A16">
        <v>0</v>
      </c>
      <c r="B16" t="s">
        <v>4</v>
      </c>
      <c r="C16">
        <v>1</v>
      </c>
      <c r="F16" s="2" t="s">
        <v>16</v>
      </c>
      <c r="G16">
        <f>G11/(G11+G12)</f>
        <v>0.11764705882352941</v>
      </c>
    </row>
    <row r="17" spans="1:7" x14ac:dyDescent="0.45">
      <c r="A17">
        <v>-4</v>
      </c>
      <c r="B17" t="s">
        <v>3</v>
      </c>
      <c r="C17">
        <v>1</v>
      </c>
    </row>
    <row r="18" spans="1:7" x14ac:dyDescent="0.45">
      <c r="A18">
        <v>-5</v>
      </c>
      <c r="B18" t="s">
        <v>3</v>
      </c>
      <c r="C18">
        <v>1</v>
      </c>
      <c r="F18" s="2" t="s">
        <v>17</v>
      </c>
      <c r="G18">
        <f>_xlfn.NORM.S.INV(G15) - _xlfn.NORM.S.INV(G16)</f>
        <v>1.877464886868524</v>
      </c>
    </row>
    <row r="19" spans="1:7" x14ac:dyDescent="0.45">
      <c r="A19">
        <v>0</v>
      </c>
      <c r="B19" t="s">
        <v>4</v>
      </c>
      <c r="C19">
        <v>1</v>
      </c>
      <c r="F19" s="2" t="s">
        <v>18</v>
      </c>
      <c r="G19">
        <f>-(_xlfn.NORM.S.INV(G15) + _xlfn.NORM.S.INV(G16))/2</f>
        <v>0.24809898932155605</v>
      </c>
    </row>
    <row r="20" spans="1:7" x14ac:dyDescent="0.45">
      <c r="A20">
        <v>0</v>
      </c>
      <c r="B20" t="s">
        <v>4</v>
      </c>
      <c r="C20">
        <v>1</v>
      </c>
      <c r="F20" s="2"/>
    </row>
    <row r="21" spans="1:7" x14ac:dyDescent="0.45">
      <c r="A21">
        <v>0</v>
      </c>
      <c r="B21" t="s">
        <v>4</v>
      </c>
      <c r="C21">
        <v>1</v>
      </c>
    </row>
    <row r="22" spans="1:7" x14ac:dyDescent="0.45">
      <c r="A22">
        <v>-3</v>
      </c>
      <c r="B22" t="s">
        <v>3</v>
      </c>
      <c r="C22">
        <v>1</v>
      </c>
    </row>
    <row r="23" spans="1:7" x14ac:dyDescent="0.45">
      <c r="A23">
        <v>0</v>
      </c>
      <c r="B23" t="s">
        <v>4</v>
      </c>
      <c r="C23">
        <v>1</v>
      </c>
    </row>
    <row r="24" spans="1:7" x14ac:dyDescent="0.45">
      <c r="A24">
        <v>-5</v>
      </c>
      <c r="B24" t="s">
        <v>3</v>
      </c>
      <c r="C24">
        <v>1</v>
      </c>
    </row>
    <row r="25" spans="1:7" x14ac:dyDescent="0.45">
      <c r="A25">
        <v>-2</v>
      </c>
      <c r="B25" t="s">
        <v>3</v>
      </c>
      <c r="C25">
        <v>1</v>
      </c>
    </row>
    <row r="26" spans="1:7" x14ac:dyDescent="0.45">
      <c r="A26">
        <v>0</v>
      </c>
      <c r="B26" t="s">
        <v>4</v>
      </c>
      <c r="C26">
        <v>1</v>
      </c>
    </row>
    <row r="27" spans="1:7" x14ac:dyDescent="0.45">
      <c r="A27">
        <v>2</v>
      </c>
      <c r="B27" t="s">
        <v>4</v>
      </c>
      <c r="C27">
        <v>0</v>
      </c>
    </row>
    <row r="28" spans="1:7" x14ac:dyDescent="0.45">
      <c r="A28">
        <v>2</v>
      </c>
      <c r="B28" t="s">
        <v>4</v>
      </c>
      <c r="C28">
        <v>0</v>
      </c>
    </row>
    <row r="29" spans="1:7" x14ac:dyDescent="0.45">
      <c r="A29">
        <v>0</v>
      </c>
      <c r="B29" t="s">
        <v>4</v>
      </c>
      <c r="C29">
        <v>1</v>
      </c>
    </row>
    <row r="30" spans="1:7" x14ac:dyDescent="0.45">
      <c r="A30">
        <v>-4</v>
      </c>
      <c r="B30" t="s">
        <v>3</v>
      </c>
      <c r="C30">
        <v>1</v>
      </c>
    </row>
    <row r="31" spans="1:7" x14ac:dyDescent="0.45">
      <c r="A31">
        <v>0</v>
      </c>
      <c r="B31" t="s">
        <v>3</v>
      </c>
      <c r="C31">
        <v>0</v>
      </c>
    </row>
    <row r="32" spans="1:7" x14ac:dyDescent="0.45">
      <c r="A32">
        <v>0</v>
      </c>
      <c r="B32" t="s">
        <v>3</v>
      </c>
      <c r="C32">
        <v>0</v>
      </c>
    </row>
    <row r="33" spans="1:3" x14ac:dyDescent="0.45">
      <c r="A33">
        <v>0</v>
      </c>
      <c r="B33" t="s">
        <v>4</v>
      </c>
      <c r="C33">
        <v>1</v>
      </c>
    </row>
    <row r="34" spans="1:3" x14ac:dyDescent="0.45">
      <c r="A34">
        <v>1</v>
      </c>
      <c r="B34" t="s">
        <v>3</v>
      </c>
      <c r="C34">
        <v>1</v>
      </c>
    </row>
    <row r="35" spans="1:3" x14ac:dyDescent="0.45">
      <c r="A35">
        <v>0</v>
      </c>
      <c r="B35" t="s">
        <v>4</v>
      </c>
      <c r="C35">
        <v>1</v>
      </c>
    </row>
    <row r="36" spans="1:3" x14ac:dyDescent="0.45">
      <c r="A36">
        <v>3</v>
      </c>
      <c r="B36" t="s">
        <v>3</v>
      </c>
      <c r="C36">
        <v>1</v>
      </c>
    </row>
    <row r="37" spans="1:3" x14ac:dyDescent="0.45">
      <c r="A37">
        <v>1</v>
      </c>
      <c r="B37" t="s">
        <v>4</v>
      </c>
      <c r="C37">
        <v>0</v>
      </c>
    </row>
    <row r="38" spans="1:3" x14ac:dyDescent="0.45">
      <c r="A38">
        <v>-2</v>
      </c>
      <c r="B38" t="s">
        <v>3</v>
      </c>
      <c r="C38">
        <v>1</v>
      </c>
    </row>
    <row r="39" spans="1:3" x14ac:dyDescent="0.45">
      <c r="A39">
        <v>0</v>
      </c>
      <c r="B39" t="s">
        <v>3</v>
      </c>
      <c r="C39">
        <v>0</v>
      </c>
    </row>
    <row r="40" spans="1:3" x14ac:dyDescent="0.45">
      <c r="A40">
        <v>-3</v>
      </c>
      <c r="B40" t="s">
        <v>3</v>
      </c>
      <c r="C40">
        <v>1</v>
      </c>
    </row>
    <row r="41" spans="1:3" x14ac:dyDescent="0.45">
      <c r="A41">
        <v>0</v>
      </c>
      <c r="B41" t="s">
        <v>3</v>
      </c>
      <c r="C41">
        <v>0</v>
      </c>
    </row>
    <row r="42" spans="1:3" x14ac:dyDescent="0.45">
      <c r="A42">
        <v>0</v>
      </c>
      <c r="B42" t="s">
        <v>3</v>
      </c>
      <c r="C42">
        <v>0</v>
      </c>
    </row>
    <row r="43" spans="1:3" x14ac:dyDescent="0.45">
      <c r="A43">
        <v>0</v>
      </c>
      <c r="B43" t="s">
        <v>4</v>
      </c>
      <c r="C43">
        <v>1</v>
      </c>
    </row>
    <row r="44" spans="1:3" x14ac:dyDescent="0.45">
      <c r="A44">
        <v>-5</v>
      </c>
      <c r="B44" t="s">
        <v>3</v>
      </c>
      <c r="C44">
        <v>1</v>
      </c>
    </row>
    <row r="45" spans="1:3" x14ac:dyDescent="0.45">
      <c r="A45">
        <v>3</v>
      </c>
      <c r="B45" t="s">
        <v>3</v>
      </c>
      <c r="C45">
        <v>1</v>
      </c>
    </row>
    <row r="46" spans="1:3" x14ac:dyDescent="0.45">
      <c r="A46">
        <v>-3</v>
      </c>
      <c r="B46" t="s">
        <v>4</v>
      </c>
      <c r="C46">
        <v>0</v>
      </c>
    </row>
    <row r="47" spans="1:3" x14ac:dyDescent="0.45">
      <c r="A47">
        <v>0</v>
      </c>
      <c r="B47" t="s">
        <v>4</v>
      </c>
      <c r="C47">
        <v>1</v>
      </c>
    </row>
    <row r="48" spans="1:3" x14ac:dyDescent="0.45">
      <c r="A48">
        <v>0</v>
      </c>
      <c r="B48" t="s">
        <v>4</v>
      </c>
      <c r="C48">
        <v>1</v>
      </c>
    </row>
    <row r="49" spans="1:3" x14ac:dyDescent="0.45">
      <c r="A49">
        <v>3</v>
      </c>
      <c r="B49" t="s">
        <v>3</v>
      </c>
      <c r="C49">
        <v>1</v>
      </c>
    </row>
    <row r="50" spans="1:3" x14ac:dyDescent="0.45">
      <c r="A50">
        <v>2</v>
      </c>
      <c r="B50" t="s">
        <v>3</v>
      </c>
      <c r="C50">
        <v>1</v>
      </c>
    </row>
    <row r="51" spans="1:3" x14ac:dyDescent="0.45">
      <c r="A51">
        <v>0</v>
      </c>
      <c r="B51" t="s">
        <v>3</v>
      </c>
      <c r="C51">
        <v>0</v>
      </c>
    </row>
    <row r="52" spans="1:3" x14ac:dyDescent="0.45">
      <c r="A52">
        <v>4</v>
      </c>
      <c r="B52" t="s">
        <v>3</v>
      </c>
      <c r="C52">
        <v>1</v>
      </c>
    </row>
    <row r="53" spans="1:3" x14ac:dyDescent="0.45">
      <c r="A53">
        <v>0</v>
      </c>
      <c r="B53" t="s">
        <v>3</v>
      </c>
      <c r="C53">
        <v>0</v>
      </c>
    </row>
    <row r="54" spans="1:3" x14ac:dyDescent="0.45">
      <c r="A54">
        <v>0</v>
      </c>
      <c r="B54" t="s">
        <v>4</v>
      </c>
      <c r="C54">
        <v>1</v>
      </c>
    </row>
    <row r="55" spans="1:3" x14ac:dyDescent="0.45">
      <c r="A55">
        <v>0</v>
      </c>
      <c r="B55" t="s">
        <v>4</v>
      </c>
      <c r="C55">
        <v>1</v>
      </c>
    </row>
    <row r="56" spans="1:3" x14ac:dyDescent="0.45">
      <c r="A56">
        <v>1</v>
      </c>
      <c r="B56" t="s">
        <v>3</v>
      </c>
      <c r="C56">
        <v>1</v>
      </c>
    </row>
    <row r="57" spans="1:3" x14ac:dyDescent="0.45">
      <c r="A57">
        <v>-3</v>
      </c>
      <c r="B57" t="s">
        <v>3</v>
      </c>
      <c r="C57">
        <v>1</v>
      </c>
    </row>
    <row r="58" spans="1:3" x14ac:dyDescent="0.45">
      <c r="A58">
        <v>2</v>
      </c>
      <c r="B58" t="s">
        <v>3</v>
      </c>
      <c r="C58">
        <v>1</v>
      </c>
    </row>
    <row r="59" spans="1:3" x14ac:dyDescent="0.45">
      <c r="A59">
        <v>0</v>
      </c>
      <c r="B59" t="s">
        <v>3</v>
      </c>
      <c r="C59">
        <v>0</v>
      </c>
    </row>
    <row r="60" spans="1:3" x14ac:dyDescent="0.45">
      <c r="A60">
        <v>0</v>
      </c>
      <c r="B60" t="s">
        <v>3</v>
      </c>
      <c r="C60">
        <v>0</v>
      </c>
    </row>
    <row r="61" spans="1:3" x14ac:dyDescent="0.45">
      <c r="A61">
        <v>3</v>
      </c>
      <c r="B61" t="s">
        <v>3</v>
      </c>
      <c r="C61">
        <v>1</v>
      </c>
    </row>
    <row r="62" spans="1:3" x14ac:dyDescent="0.45">
      <c r="A62">
        <v>4</v>
      </c>
      <c r="B62" t="s">
        <v>3</v>
      </c>
      <c r="C62">
        <v>1</v>
      </c>
    </row>
    <row r="63" spans="1:3" x14ac:dyDescent="0.45">
      <c r="A63">
        <v>0</v>
      </c>
      <c r="B63" t="s">
        <v>4</v>
      </c>
      <c r="C63">
        <v>1</v>
      </c>
    </row>
    <row r="64" spans="1:3" x14ac:dyDescent="0.45">
      <c r="A64">
        <v>0</v>
      </c>
      <c r="B64" t="s">
        <v>4</v>
      </c>
      <c r="C64">
        <v>1</v>
      </c>
    </row>
    <row r="65" spans="1:3" x14ac:dyDescent="0.45">
      <c r="A65">
        <v>0</v>
      </c>
      <c r="B65" t="s">
        <v>4</v>
      </c>
      <c r="C65">
        <v>1</v>
      </c>
    </row>
    <row r="66" spans="1:3" x14ac:dyDescent="0.45">
      <c r="A66">
        <v>0</v>
      </c>
      <c r="B66" t="s">
        <v>3</v>
      </c>
      <c r="C66">
        <v>0</v>
      </c>
    </row>
    <row r="67" spans="1:3" x14ac:dyDescent="0.45">
      <c r="A67">
        <v>0</v>
      </c>
      <c r="B67" t="s">
        <v>4</v>
      </c>
      <c r="C67">
        <v>1</v>
      </c>
    </row>
    <row r="68" spans="1:3" x14ac:dyDescent="0.45">
      <c r="A68">
        <v>0</v>
      </c>
      <c r="B68" t="s">
        <v>4</v>
      </c>
      <c r="C68">
        <v>1</v>
      </c>
    </row>
    <row r="69" spans="1:3" x14ac:dyDescent="0.45">
      <c r="A69">
        <v>-3</v>
      </c>
      <c r="B69" t="s">
        <v>3</v>
      </c>
      <c r="C69">
        <v>1</v>
      </c>
    </row>
    <row r="70" spans="1:3" x14ac:dyDescent="0.45">
      <c r="A70">
        <v>-2</v>
      </c>
      <c r="B70" t="s">
        <v>3</v>
      </c>
      <c r="C70">
        <v>1</v>
      </c>
    </row>
    <row r="71" spans="1:3" x14ac:dyDescent="0.45">
      <c r="A71">
        <v>-2</v>
      </c>
      <c r="B71" t="s">
        <v>3</v>
      </c>
      <c r="C71">
        <v>1</v>
      </c>
    </row>
    <row r="72" spans="1:3" x14ac:dyDescent="0.45">
      <c r="A72">
        <v>2</v>
      </c>
      <c r="B72" t="s">
        <v>3</v>
      </c>
      <c r="C72">
        <v>1</v>
      </c>
    </row>
    <row r="73" spans="1:3" x14ac:dyDescent="0.45">
      <c r="A73">
        <v>1</v>
      </c>
      <c r="B73" t="s">
        <v>3</v>
      </c>
      <c r="C73">
        <v>1</v>
      </c>
    </row>
    <row r="74" spans="1:3" x14ac:dyDescent="0.45">
      <c r="A74">
        <v>0</v>
      </c>
      <c r="B74" t="s">
        <v>4</v>
      </c>
      <c r="C74">
        <v>1</v>
      </c>
    </row>
    <row r="75" spans="1:3" x14ac:dyDescent="0.45">
      <c r="A75">
        <v>0</v>
      </c>
      <c r="B75" t="s">
        <v>4</v>
      </c>
      <c r="C75">
        <v>1</v>
      </c>
    </row>
    <row r="76" spans="1:3" x14ac:dyDescent="0.45">
      <c r="A76">
        <v>4</v>
      </c>
      <c r="B76" t="s">
        <v>3</v>
      </c>
      <c r="C76">
        <v>1</v>
      </c>
    </row>
    <row r="77" spans="1:3" x14ac:dyDescent="0.45">
      <c r="A77">
        <v>-4</v>
      </c>
      <c r="B77" t="s">
        <v>3</v>
      </c>
      <c r="C77">
        <v>1</v>
      </c>
    </row>
    <row r="78" spans="1:3" x14ac:dyDescent="0.45">
      <c r="A78">
        <v>-3</v>
      </c>
      <c r="B78" t="s">
        <v>3</v>
      </c>
      <c r="C78">
        <v>1</v>
      </c>
    </row>
    <row r="79" spans="1:3" x14ac:dyDescent="0.45">
      <c r="A79">
        <v>4</v>
      </c>
      <c r="B79" t="s">
        <v>3</v>
      </c>
      <c r="C79">
        <v>1</v>
      </c>
    </row>
    <row r="80" spans="1:3" x14ac:dyDescent="0.45">
      <c r="A80">
        <v>-5</v>
      </c>
      <c r="B80" t="s">
        <v>3</v>
      </c>
      <c r="C80">
        <v>1</v>
      </c>
    </row>
    <row r="81" spans="1:3" x14ac:dyDescent="0.45">
      <c r="A81">
        <v>3</v>
      </c>
      <c r="B81" t="s">
        <v>3</v>
      </c>
      <c r="C81">
        <v>1</v>
      </c>
    </row>
    <row r="82" spans="1:3" x14ac:dyDescent="0.45">
      <c r="A82">
        <v>0</v>
      </c>
      <c r="B82" t="s">
        <v>4</v>
      </c>
      <c r="C82">
        <v>1</v>
      </c>
    </row>
    <row r="83" spans="1:3" x14ac:dyDescent="0.45">
      <c r="A83">
        <v>0</v>
      </c>
      <c r="B83" t="s">
        <v>4</v>
      </c>
      <c r="C83">
        <v>1</v>
      </c>
    </row>
    <row r="84" spans="1:3" x14ac:dyDescent="0.45">
      <c r="A84">
        <v>0</v>
      </c>
      <c r="B84" t="s">
        <v>4</v>
      </c>
      <c r="C84">
        <v>1</v>
      </c>
    </row>
    <row r="85" spans="1:3" x14ac:dyDescent="0.45">
      <c r="A85">
        <v>4</v>
      </c>
      <c r="B85" t="s">
        <v>3</v>
      </c>
      <c r="C85">
        <v>1</v>
      </c>
    </row>
    <row r="86" spans="1:3" x14ac:dyDescent="0.45">
      <c r="A86">
        <v>0</v>
      </c>
      <c r="B86" t="s">
        <v>4</v>
      </c>
      <c r="C86">
        <v>1</v>
      </c>
    </row>
    <row r="87" spans="1:3" x14ac:dyDescent="0.45">
      <c r="A87">
        <v>0</v>
      </c>
      <c r="B87" t="s">
        <v>4</v>
      </c>
      <c r="C87">
        <v>1</v>
      </c>
    </row>
    <row r="88" spans="1:3" x14ac:dyDescent="0.45">
      <c r="A88">
        <v>0</v>
      </c>
      <c r="B88" t="s">
        <v>4</v>
      </c>
      <c r="C88">
        <v>1</v>
      </c>
    </row>
    <row r="89" spans="1:3" x14ac:dyDescent="0.45">
      <c r="A89">
        <v>-4</v>
      </c>
      <c r="B89" t="s">
        <v>3</v>
      </c>
      <c r="C89">
        <v>1</v>
      </c>
    </row>
    <row r="90" spans="1:3" x14ac:dyDescent="0.45">
      <c r="A90">
        <v>0</v>
      </c>
      <c r="B90" t="s">
        <v>4</v>
      </c>
      <c r="C90">
        <v>1</v>
      </c>
    </row>
    <row r="91" spans="1:3" x14ac:dyDescent="0.45">
      <c r="A91">
        <v>0</v>
      </c>
      <c r="B91" t="s">
        <v>4</v>
      </c>
      <c r="C91">
        <v>1</v>
      </c>
    </row>
    <row r="92" spans="1:3" x14ac:dyDescent="0.45">
      <c r="A92">
        <v>0</v>
      </c>
      <c r="B92" t="s">
        <v>4</v>
      </c>
      <c r="C92">
        <v>1</v>
      </c>
    </row>
    <row r="93" spans="1:3" x14ac:dyDescent="0.45">
      <c r="A93">
        <v>1</v>
      </c>
      <c r="B93" t="s">
        <v>4</v>
      </c>
      <c r="C93">
        <v>0</v>
      </c>
    </row>
    <row r="94" spans="1:3" x14ac:dyDescent="0.45">
      <c r="A94">
        <v>0</v>
      </c>
      <c r="B94" t="s">
        <v>4</v>
      </c>
      <c r="C94">
        <v>1</v>
      </c>
    </row>
    <row r="95" spans="1:3" x14ac:dyDescent="0.45">
      <c r="A95">
        <v>0</v>
      </c>
      <c r="B95" t="s">
        <v>4</v>
      </c>
      <c r="C95">
        <v>1</v>
      </c>
    </row>
    <row r="96" spans="1:3" x14ac:dyDescent="0.45">
      <c r="A96">
        <v>-5</v>
      </c>
      <c r="B96" t="s">
        <v>3</v>
      </c>
      <c r="C96">
        <v>1</v>
      </c>
    </row>
    <row r="97" spans="1:3" x14ac:dyDescent="0.45">
      <c r="A97">
        <v>0</v>
      </c>
      <c r="B97" t="s">
        <v>4</v>
      </c>
      <c r="C97">
        <v>1</v>
      </c>
    </row>
    <row r="98" spans="1:3" x14ac:dyDescent="0.45">
      <c r="A98">
        <v>1</v>
      </c>
      <c r="B98" t="s">
        <v>4</v>
      </c>
      <c r="C98">
        <v>0</v>
      </c>
    </row>
    <row r="99" spans="1:3" x14ac:dyDescent="0.45">
      <c r="A99">
        <v>1</v>
      </c>
      <c r="B99" t="s">
        <v>3</v>
      </c>
      <c r="C99">
        <v>1</v>
      </c>
    </row>
    <row r="100" spans="1:3" x14ac:dyDescent="0.45">
      <c r="A100">
        <v>-4</v>
      </c>
      <c r="B100" t="s">
        <v>3</v>
      </c>
      <c r="C100">
        <v>1</v>
      </c>
    </row>
    <row r="101" spans="1:3" x14ac:dyDescent="0.45">
      <c r="A101">
        <v>3</v>
      </c>
      <c r="B101" t="s">
        <v>3</v>
      </c>
      <c r="C101">
        <v>1</v>
      </c>
    </row>
    <row r="102" spans="1:3" x14ac:dyDescent="0.45">
      <c r="A102">
        <v>-2</v>
      </c>
      <c r="B102" t="s">
        <v>3</v>
      </c>
      <c r="C102">
        <v>1</v>
      </c>
    </row>
  </sheetData>
  <mergeCells count="4">
    <mergeCell ref="G3:K3"/>
    <mergeCell ref="G4:K4"/>
    <mergeCell ref="G5:K5"/>
    <mergeCell ref="G6:K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participant_1_orientation_discr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Ruhi Mehta</cp:lastModifiedBy>
  <dcterms:created xsi:type="dcterms:W3CDTF">2025-09-11T05:39:20Z</dcterms:created>
  <dcterms:modified xsi:type="dcterms:W3CDTF">2025-09-11T06:07:59Z</dcterms:modified>
</cp:coreProperties>
</file>