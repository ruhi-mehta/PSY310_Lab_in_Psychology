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Word_Priming\data\"/>
    </mc:Choice>
  </mc:AlternateContent>
  <xr:revisionPtr revIDLastSave="0" documentId="13_ncr:1_{7271F381-EF7E-4A08-A912-F4EB21EC4739}" xr6:coauthVersionLast="47" xr6:coauthVersionMax="47" xr10:uidLastSave="{00000000-0000-0000-0000-000000000000}"/>
  <bookViews>
    <workbookView xWindow="-83" yWindow="0" windowWidth="12166" windowHeight="14362" xr2:uid="{BFEF0BD5-ED4E-43BB-BD71-3C355FB94E9C}"/>
  </bookViews>
  <sheets>
    <sheet name="participant 2_raw data + analys" sheetId="1" r:id="rId1"/>
  </sheets>
  <calcPr calcId="191029"/>
</workbook>
</file>

<file path=xl/calcChain.xml><?xml version="1.0" encoding="utf-8"?>
<calcChain xmlns="http://schemas.openxmlformats.org/spreadsheetml/2006/main">
  <c r="K42" i="1" l="1"/>
  <c r="K41" i="1"/>
  <c r="J44" i="1" s="1"/>
</calcChain>
</file>

<file path=xl/sharedStrings.xml><?xml version="1.0" encoding="utf-8"?>
<sst xmlns="http://schemas.openxmlformats.org/spreadsheetml/2006/main" count="649" uniqueCount="150">
  <si>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</si>
  <si>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</si>
  <si>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</si>
  <si>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</si>
  <si>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</si>
  <si>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</si>
  <si>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</si>
  <si>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</si>
  <si>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</si>
  <si>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</si>
  <si>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</si>
  <si>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</si>
  <si>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</si>
  <si>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</si>
  <si>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</si>
  <si>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</si>
  <si>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</si>
  <si>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</si>
  <si>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</si>
  <si>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</si>
  <si>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</si>
  <si>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</si>
  <si>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</si>
  <si>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</si>
  <si>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</si>
  <si>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</si>
  <si>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</si>
  <si>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instructions_1.started</t>
  </si>
  <si>
    <t>text_5.started</t>
  </si>
  <si>
    <t>key_resp_2.started</t>
  </si>
  <si>
    <t>instructions_1.stopped</t>
  </si>
  <si>
    <t>key_resp_2.keys</t>
  </si>
  <si>
    <t>key_resp_2.rt</t>
  </si>
  <si>
    <t>key_resp_2.duration</t>
  </si>
  <si>
    <t>trial.started</t>
  </si>
  <si>
    <t>text.started</t>
  </si>
  <si>
    <t>slider.started</t>
  </si>
  <si>
    <t>trial.stopped</t>
  </si>
  <si>
    <t>trials.slider.response</t>
  </si>
  <si>
    <t>trials.slider.rt</t>
  </si>
  <si>
    <t>instructions_2.started</t>
  </si>
  <si>
    <t>text_4.started</t>
  </si>
  <si>
    <t>key_resp.started</t>
  </si>
  <si>
    <t>instructions_2.stopped</t>
  </si>
  <si>
    <t>key_resp.keys</t>
  </si>
  <si>
    <t>key_resp.rt</t>
  </si>
  <si>
    <t>key_resp.duration</t>
  </si>
  <si>
    <t>test.started</t>
  </si>
  <si>
    <t>text_2.started</t>
  </si>
  <si>
    <t>textbox.started</t>
  </si>
  <si>
    <t>text_3.started</t>
  </si>
  <si>
    <t>mouse.started</t>
  </si>
  <si>
    <t>text_2.stopped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</si>
  <si>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</si>
  <si>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</si>
  <si>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</si>
  <si>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</si>
  <si>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</si>
  <si>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</si>
  <si>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</si>
  <si>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</si>
  <si>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</si>
  <si>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</si>
  <si>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</si>
  <si>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</si>
  <si>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</si>
  <si>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</si>
  <si>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</si>
  <si>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</si>
  <si>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</si>
  <si>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</si>
  <si>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</si>
  <si>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 2</t>
  </si>
  <si>
    <t>2025-10-15_22h47.36.105</t>
  </si>
  <si>
    <t>word_priming</t>
  </si>
  <si>
    <t>2025.1.1</t>
  </si>
  <si>
    <t>2025-10-15 22h47.45.478516 +0530</t>
  </si>
  <si>
    <t>chart</t>
  </si>
  <si>
    <t>mouse</t>
  </si>
  <si>
    <t>tshirt</t>
  </si>
  <si>
    <t>poster</t>
  </si>
  <si>
    <t>police</t>
  </si>
  <si>
    <t>pastry</t>
  </si>
  <si>
    <t>phone</t>
  </si>
  <si>
    <t>cruise</t>
  </si>
  <si>
    <t>board</t>
  </si>
  <si>
    <t>keys</t>
  </si>
  <si>
    <t>marble</t>
  </si>
  <si>
    <t>laptop</t>
  </si>
  <si>
    <t>book</t>
  </si>
  <si>
    <t>cushion</t>
  </si>
  <si>
    <t>case</t>
  </si>
  <si>
    <t>_ha_t</t>
  </si>
  <si>
    <t>old</t>
  </si>
  <si>
    <t>[0.058]</t>
  </si>
  <si>
    <t>[-0.31]</t>
  </si>
  <si>
    <t>[1]</t>
  </si>
  <si>
    <t>[0]</t>
  </si>
  <si>
    <t>[13.427688400028273]</t>
  </si>
  <si>
    <t>['text_3']</t>
  </si>
  <si>
    <t>t_hi_t</t>
  </si>
  <si>
    <t>[6.194732900010422]</t>
  </si>
  <si>
    <t>_oo_</t>
  </si>
  <si>
    <t>[4.127092599868774]</t>
  </si>
  <si>
    <t>c_m_ra</t>
  </si>
  <si>
    <t>camera</t>
  </si>
  <si>
    <t>new</t>
  </si>
  <si>
    <t>[4.475718299858272]</t>
  </si>
  <si>
    <t>v_s_</t>
  </si>
  <si>
    <t>vase</t>
  </si>
  <si>
    <t>[6.979288999922574]</t>
  </si>
  <si>
    <t>l_pt_p</t>
  </si>
  <si>
    <t>[5.5606965997722]</t>
  </si>
  <si>
    <t>p_s_r_</t>
  </si>
  <si>
    <t>[18.48130779992789]</t>
  </si>
  <si>
    <t>p_st_r</t>
  </si>
  <si>
    <t>[6.927195600001141]</t>
  </si>
  <si>
    <t>bo_t_e</t>
  </si>
  <si>
    <t>bottle</t>
  </si>
  <si>
    <t>[6.06491529988125]</t>
  </si>
  <si>
    <t>c_s_io_</t>
  </si>
  <si>
    <t>cashior</t>
  </si>
  <si>
    <t>[11.46390079986304]</t>
  </si>
  <si>
    <t>_ru_s_</t>
  </si>
  <si>
    <t>[14.676328799920157]</t>
  </si>
  <si>
    <t>c_s_</t>
  </si>
  <si>
    <t>[0.075]</t>
  </si>
  <si>
    <t>[-0.296]</t>
  </si>
  <si>
    <t>[5.597105599939823]</t>
  </si>
  <si>
    <t>k_y_</t>
  </si>
  <si>
    <t>[4.149796100100502]</t>
  </si>
  <si>
    <t>p_nc_l</t>
  </si>
  <si>
    <t>pencil</t>
  </si>
  <si>
    <t>[9.208659800002351]</t>
  </si>
  <si>
    <t>_ho_e</t>
  </si>
  <si>
    <t>[23.647302699973807]</t>
  </si>
  <si>
    <t>_o_rd</t>
  </si>
  <si>
    <t>[13.697165999794379]</t>
  </si>
  <si>
    <t>p_li_e</t>
  </si>
  <si>
    <t>[6.279321500100195]</t>
  </si>
  <si>
    <t>_a_bl_</t>
  </si>
  <si>
    <t>[19.576423999853432]</t>
  </si>
  <si>
    <t>_ou_e</t>
  </si>
  <si>
    <t>[5.595798500115052]</t>
  </si>
  <si>
    <t>ta_l_</t>
  </si>
  <si>
    <t>table</t>
  </si>
  <si>
    <t>[5.961819900199771]</t>
  </si>
  <si>
    <t>Prop. of hit from study list =</t>
  </si>
  <si>
    <t>Prop. of hit for non-primed words =</t>
  </si>
  <si>
    <t>Priming score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</si>
</sst>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7C5B-F5A5-4700-B48E-2AFD2D25DF8D}">
  <dimension ref="A1:BR44"/>
  <sheetViews>
    <sheetView tabSelected="1" topLeftCell="F18" workbookViewId="0">
      <selection activeCell="K41" sqref="K41"/>
    </sheetView>
  </sheetViews>
  <sheetFormatPr defaultRowHeight="14.25" x14ac:dyDescent="0.45"/>
  <sheetData>
    <row r="1" spans="1:7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45">
      <c r="AB2">
        <v>6.0596999246626997E-3</v>
      </c>
      <c r="AC2">
        <v>2.45982999913394E-2</v>
      </c>
      <c r="AD2">
        <v>2.45982999913394E-2</v>
      </c>
      <c r="AE2">
        <v>7.9149086999241201</v>
      </c>
      <c r="AF2" t="s">
        <v>70</v>
      </c>
      <c r="AG2">
        <v>7.8679305000696296</v>
      </c>
      <c r="AH2" t="s">
        <v>71</v>
      </c>
      <c r="BK2" t="s">
        <v>72</v>
      </c>
      <c r="BL2">
        <v>1</v>
      </c>
      <c r="BM2" t="s">
        <v>73</v>
      </c>
      <c r="BN2" t="s">
        <v>74</v>
      </c>
      <c r="BP2" t="s">
        <v>75</v>
      </c>
      <c r="BQ2">
        <v>60.278292864429503</v>
      </c>
      <c r="BR2" t="s">
        <v>76</v>
      </c>
    </row>
    <row r="3" spans="1:70" x14ac:dyDescent="0.45">
      <c r="A3" t="s">
        <v>77</v>
      </c>
      <c r="B3">
        <v>0</v>
      </c>
      <c r="C3">
        <v>0</v>
      </c>
      <c r="D3">
        <v>0</v>
      </c>
      <c r="E3">
        <v>1.02</v>
      </c>
      <c r="F3">
        <v>3.0057693999260602</v>
      </c>
      <c r="R3">
        <v>0</v>
      </c>
      <c r="S3">
        <v>0</v>
      </c>
      <c r="T3">
        <v>0</v>
      </c>
      <c r="U3">
        <v>6</v>
      </c>
      <c r="Z3">
        <v>7.9715763998683498</v>
      </c>
      <c r="AI3">
        <v>7.9343838000204396</v>
      </c>
      <c r="AJ3">
        <v>7.9715763998683498</v>
      </c>
      <c r="AK3">
        <v>7.9715763998683498</v>
      </c>
      <c r="AL3">
        <v>10.955405599903299</v>
      </c>
      <c r="AM3">
        <v>1.02</v>
      </c>
      <c r="AN3">
        <v>3.0057693999260602</v>
      </c>
      <c r="BK3" t="s">
        <v>72</v>
      </c>
      <c r="BL3">
        <v>1</v>
      </c>
      <c r="BM3" t="s">
        <v>73</v>
      </c>
      <c r="BN3" t="s">
        <v>74</v>
      </c>
      <c r="BP3" t="s">
        <v>75</v>
      </c>
      <c r="BQ3">
        <v>60.278292864429503</v>
      </c>
      <c r="BR3" t="s">
        <v>76</v>
      </c>
    </row>
    <row r="4" spans="1:70" x14ac:dyDescent="0.45">
      <c r="A4" t="s">
        <v>78</v>
      </c>
      <c r="B4">
        <v>1</v>
      </c>
      <c r="C4">
        <v>1</v>
      </c>
      <c r="D4">
        <v>0</v>
      </c>
      <c r="E4">
        <v>1.02</v>
      </c>
      <c r="F4">
        <v>1.46570089994929</v>
      </c>
      <c r="R4">
        <v>0</v>
      </c>
      <c r="S4">
        <v>1</v>
      </c>
      <c r="T4">
        <v>1</v>
      </c>
      <c r="U4">
        <v>8</v>
      </c>
      <c r="Z4">
        <v>10.9712853999808</v>
      </c>
      <c r="AI4">
        <v>10.958076399983799</v>
      </c>
      <c r="AJ4">
        <v>10.9712853999808</v>
      </c>
      <c r="AK4">
        <v>10.9712853999808</v>
      </c>
      <c r="AL4">
        <v>12.439588299952399</v>
      </c>
      <c r="AM4">
        <v>1.02</v>
      </c>
      <c r="AN4">
        <v>1.46570089994929</v>
      </c>
      <c r="BK4" t="s">
        <v>72</v>
      </c>
      <c r="BL4">
        <v>1</v>
      </c>
      <c r="BM4" t="s">
        <v>73</v>
      </c>
      <c r="BN4" t="s">
        <v>74</v>
      </c>
      <c r="BP4" t="s">
        <v>75</v>
      </c>
      <c r="BQ4">
        <v>60.278292864429503</v>
      </c>
      <c r="BR4" t="s">
        <v>76</v>
      </c>
    </row>
    <row r="5" spans="1:70" x14ac:dyDescent="0.45">
      <c r="A5" t="s">
        <v>79</v>
      </c>
      <c r="B5">
        <v>2</v>
      </c>
      <c r="C5">
        <v>2</v>
      </c>
      <c r="D5">
        <v>0</v>
      </c>
      <c r="E5">
        <v>1.02</v>
      </c>
      <c r="F5">
        <v>1.2310008001513699</v>
      </c>
      <c r="R5">
        <v>0</v>
      </c>
      <c r="S5">
        <v>2</v>
      </c>
      <c r="T5">
        <v>2</v>
      </c>
      <c r="U5">
        <v>7</v>
      </c>
      <c r="Z5">
        <v>12.454552199924301</v>
      </c>
      <c r="AI5">
        <v>12.4431966999545</v>
      </c>
      <c r="AJ5">
        <v>12.454552199924301</v>
      </c>
      <c r="AK5">
        <v>12.454552199924301</v>
      </c>
      <c r="AL5">
        <v>13.6895135999657</v>
      </c>
      <c r="AM5">
        <v>1.02</v>
      </c>
      <c r="AN5">
        <v>1.2310008001513699</v>
      </c>
      <c r="BK5" t="s">
        <v>72</v>
      </c>
      <c r="BL5">
        <v>1</v>
      </c>
      <c r="BM5" t="s">
        <v>73</v>
      </c>
      <c r="BN5" t="s">
        <v>74</v>
      </c>
      <c r="BP5" t="s">
        <v>75</v>
      </c>
      <c r="BQ5">
        <v>60.278292864429503</v>
      </c>
      <c r="BR5" t="s">
        <v>76</v>
      </c>
    </row>
    <row r="6" spans="1:70" x14ac:dyDescent="0.45">
      <c r="A6" t="s">
        <v>80</v>
      </c>
      <c r="B6">
        <v>3</v>
      </c>
      <c r="C6">
        <v>3</v>
      </c>
      <c r="D6">
        <v>0</v>
      </c>
      <c r="E6">
        <v>1.02</v>
      </c>
      <c r="F6">
        <v>1.2989892000332399</v>
      </c>
      <c r="R6">
        <v>0</v>
      </c>
      <c r="S6">
        <v>3</v>
      </c>
      <c r="T6">
        <v>3</v>
      </c>
      <c r="U6">
        <v>14</v>
      </c>
      <c r="Z6">
        <v>13.7213160998653</v>
      </c>
      <c r="AI6">
        <v>13.693110999884</v>
      </c>
      <c r="AJ6">
        <v>13.7213160998653</v>
      </c>
      <c r="AK6">
        <v>13.7213160998653</v>
      </c>
      <c r="AL6">
        <v>15.007054100045901</v>
      </c>
      <c r="AM6">
        <v>1.02</v>
      </c>
      <c r="AN6">
        <v>1.2989892000332399</v>
      </c>
      <c r="BK6" t="s">
        <v>72</v>
      </c>
      <c r="BL6">
        <v>1</v>
      </c>
      <c r="BM6" t="s">
        <v>73</v>
      </c>
      <c r="BN6" t="s">
        <v>74</v>
      </c>
      <c r="BP6" t="s">
        <v>75</v>
      </c>
      <c r="BQ6">
        <v>60.278292864429503</v>
      </c>
      <c r="BR6" t="s">
        <v>76</v>
      </c>
    </row>
    <row r="7" spans="1:70" x14ac:dyDescent="0.45">
      <c r="A7" t="s">
        <v>81</v>
      </c>
      <c r="B7">
        <v>4</v>
      </c>
      <c r="C7">
        <v>4</v>
      </c>
      <c r="D7">
        <v>0</v>
      </c>
      <c r="E7">
        <v>1.02</v>
      </c>
      <c r="F7">
        <v>1.14539319998584</v>
      </c>
      <c r="R7">
        <v>0</v>
      </c>
      <c r="S7">
        <v>4</v>
      </c>
      <c r="T7">
        <v>4</v>
      </c>
      <c r="U7">
        <v>12</v>
      </c>
      <c r="Z7">
        <v>15.0220170998945</v>
      </c>
      <c r="AI7">
        <v>15.011435499880401</v>
      </c>
      <c r="AJ7">
        <v>15.0220170998945</v>
      </c>
      <c r="AK7">
        <v>15.0220170998945</v>
      </c>
      <c r="AL7">
        <v>16.172906999941901</v>
      </c>
      <c r="AM7">
        <v>1.02</v>
      </c>
      <c r="AN7">
        <v>1.14539319998584</v>
      </c>
      <c r="BK7" t="s">
        <v>72</v>
      </c>
      <c r="BL7">
        <v>1</v>
      </c>
      <c r="BM7" t="s">
        <v>73</v>
      </c>
      <c r="BN7" t="s">
        <v>74</v>
      </c>
      <c r="BP7" t="s">
        <v>75</v>
      </c>
      <c r="BQ7">
        <v>60.278292864429503</v>
      </c>
      <c r="BR7" t="s">
        <v>76</v>
      </c>
    </row>
    <row r="8" spans="1:70" x14ac:dyDescent="0.45">
      <c r="A8" t="s">
        <v>82</v>
      </c>
      <c r="B8">
        <v>5</v>
      </c>
      <c r="C8">
        <v>5</v>
      </c>
      <c r="D8">
        <v>0</v>
      </c>
      <c r="E8">
        <v>1.02</v>
      </c>
      <c r="F8">
        <v>1.3959210999310001</v>
      </c>
      <c r="R8">
        <v>0</v>
      </c>
      <c r="S8">
        <v>5</v>
      </c>
      <c r="T8">
        <v>5</v>
      </c>
      <c r="U8">
        <v>9</v>
      </c>
      <c r="Z8">
        <v>16.189113599946701</v>
      </c>
      <c r="AI8">
        <v>16.1771899999585</v>
      </c>
      <c r="AJ8">
        <v>16.189113599946701</v>
      </c>
      <c r="AK8">
        <v>16.189113599946701</v>
      </c>
      <c r="AL8">
        <v>17.589082899969</v>
      </c>
      <c r="AM8">
        <v>1.02</v>
      </c>
      <c r="AN8">
        <v>1.3959210999310001</v>
      </c>
      <c r="BK8" t="s">
        <v>72</v>
      </c>
      <c r="BL8">
        <v>1</v>
      </c>
      <c r="BM8" t="s">
        <v>73</v>
      </c>
      <c r="BN8" t="s">
        <v>74</v>
      </c>
      <c r="BP8" t="s">
        <v>75</v>
      </c>
      <c r="BQ8">
        <v>60.278292864429503</v>
      </c>
      <c r="BR8" t="s">
        <v>76</v>
      </c>
    </row>
    <row r="9" spans="1:70" x14ac:dyDescent="0.45">
      <c r="A9" t="s">
        <v>83</v>
      </c>
      <c r="B9">
        <v>6</v>
      </c>
      <c r="C9">
        <v>6</v>
      </c>
      <c r="D9">
        <v>0</v>
      </c>
      <c r="E9">
        <v>1.02</v>
      </c>
      <c r="F9">
        <v>1.1133278000634099</v>
      </c>
      <c r="R9">
        <v>0</v>
      </c>
      <c r="S9">
        <v>6</v>
      </c>
      <c r="T9">
        <v>6</v>
      </c>
      <c r="U9">
        <v>2</v>
      </c>
      <c r="Z9">
        <v>17.604629499837699</v>
      </c>
      <c r="AI9">
        <v>17.5926862000487</v>
      </c>
      <c r="AJ9">
        <v>17.604629499837699</v>
      </c>
      <c r="AK9">
        <v>17.604629499837699</v>
      </c>
      <c r="AL9">
        <v>18.722564199939299</v>
      </c>
      <c r="AM9">
        <v>1.02</v>
      </c>
      <c r="AN9">
        <v>1.1133278000634099</v>
      </c>
      <c r="BK9" t="s">
        <v>72</v>
      </c>
      <c r="BL9">
        <v>1</v>
      </c>
      <c r="BM9" t="s">
        <v>73</v>
      </c>
      <c r="BN9" t="s">
        <v>74</v>
      </c>
      <c r="BP9" t="s">
        <v>75</v>
      </c>
      <c r="BQ9">
        <v>60.278292864429503</v>
      </c>
      <c r="BR9" t="s">
        <v>76</v>
      </c>
    </row>
    <row r="10" spans="1:70" x14ac:dyDescent="0.45">
      <c r="A10" t="s">
        <v>84</v>
      </c>
      <c r="B10">
        <v>7</v>
      </c>
      <c r="C10">
        <v>7</v>
      </c>
      <c r="D10">
        <v>0</v>
      </c>
      <c r="E10">
        <v>1.02</v>
      </c>
      <c r="F10">
        <v>1.3320713001303299</v>
      </c>
      <c r="R10">
        <v>0</v>
      </c>
      <c r="S10">
        <v>7</v>
      </c>
      <c r="T10">
        <v>7</v>
      </c>
      <c r="U10">
        <v>11</v>
      </c>
      <c r="Z10">
        <v>18.7382854998577</v>
      </c>
      <c r="AI10">
        <v>18.725562899839101</v>
      </c>
      <c r="AJ10">
        <v>18.7382854998577</v>
      </c>
      <c r="AK10">
        <v>18.7382854998577</v>
      </c>
      <c r="AL10">
        <v>20.072872699936799</v>
      </c>
      <c r="AM10">
        <v>1.02</v>
      </c>
      <c r="AN10">
        <v>1.3320713001303299</v>
      </c>
      <c r="BK10" t="s">
        <v>72</v>
      </c>
      <c r="BL10">
        <v>1</v>
      </c>
      <c r="BM10" t="s">
        <v>73</v>
      </c>
      <c r="BN10" t="s">
        <v>74</v>
      </c>
      <c r="BP10" t="s">
        <v>75</v>
      </c>
      <c r="BQ10">
        <v>60.278292864429503</v>
      </c>
      <c r="BR10" t="s">
        <v>76</v>
      </c>
    </row>
    <row r="11" spans="1:70" x14ac:dyDescent="0.45">
      <c r="A11" t="s">
        <v>85</v>
      </c>
      <c r="B11">
        <v>8</v>
      </c>
      <c r="C11">
        <v>8</v>
      </c>
      <c r="D11">
        <v>0</v>
      </c>
      <c r="E11">
        <v>1.02</v>
      </c>
      <c r="F11">
        <v>1.2652594000101001</v>
      </c>
      <c r="R11">
        <v>0</v>
      </c>
      <c r="S11">
        <v>8</v>
      </c>
      <c r="T11">
        <v>8</v>
      </c>
      <c r="U11">
        <v>4</v>
      </c>
      <c r="Z11">
        <v>20.088144500041299</v>
      </c>
      <c r="AI11">
        <v>20.076068500056799</v>
      </c>
      <c r="AJ11">
        <v>20.088144500041299</v>
      </c>
      <c r="AK11">
        <v>20.088144500041299</v>
      </c>
      <c r="AL11">
        <v>21.3567218000534</v>
      </c>
      <c r="AM11">
        <v>1.02</v>
      </c>
      <c r="AN11">
        <v>1.2652594000101001</v>
      </c>
      <c r="BK11" t="s">
        <v>72</v>
      </c>
      <c r="BL11">
        <v>1</v>
      </c>
      <c r="BM11" t="s">
        <v>73</v>
      </c>
      <c r="BN11" t="s">
        <v>74</v>
      </c>
      <c r="BP11" t="s">
        <v>75</v>
      </c>
      <c r="BQ11">
        <v>60.278292864429503</v>
      </c>
      <c r="BR11" t="s">
        <v>76</v>
      </c>
    </row>
    <row r="12" spans="1:70" x14ac:dyDescent="0.45">
      <c r="A12" t="s">
        <v>86</v>
      </c>
      <c r="B12">
        <v>9</v>
      </c>
      <c r="C12">
        <v>9</v>
      </c>
      <c r="D12">
        <v>0</v>
      </c>
      <c r="E12">
        <v>1.02</v>
      </c>
      <c r="F12">
        <v>1.1134683000855099</v>
      </c>
      <c r="R12">
        <v>0</v>
      </c>
      <c r="S12">
        <v>9</v>
      </c>
      <c r="T12">
        <v>9</v>
      </c>
      <c r="U12">
        <v>13</v>
      </c>
      <c r="Z12">
        <v>21.371515800012201</v>
      </c>
      <c r="AI12">
        <v>21.360452600056298</v>
      </c>
      <c r="AJ12">
        <v>21.371515800012201</v>
      </c>
      <c r="AK12">
        <v>21.371515800012201</v>
      </c>
      <c r="AL12">
        <v>22.4892597999423</v>
      </c>
      <c r="AM12">
        <v>1.02</v>
      </c>
      <c r="AN12">
        <v>1.1134683000855099</v>
      </c>
      <c r="BK12" t="s">
        <v>72</v>
      </c>
      <c r="BL12">
        <v>1</v>
      </c>
      <c r="BM12" t="s">
        <v>73</v>
      </c>
      <c r="BN12" t="s">
        <v>74</v>
      </c>
      <c r="BP12" t="s">
        <v>75</v>
      </c>
      <c r="BQ12">
        <v>60.278292864429503</v>
      </c>
      <c r="BR12" t="s">
        <v>76</v>
      </c>
    </row>
    <row r="13" spans="1:70" x14ac:dyDescent="0.45">
      <c r="A13" t="s">
        <v>87</v>
      </c>
      <c r="B13">
        <v>10</v>
      </c>
      <c r="C13">
        <v>10</v>
      </c>
      <c r="D13">
        <v>0</v>
      </c>
      <c r="E13">
        <v>1.02</v>
      </c>
      <c r="F13">
        <v>1.39715790003538</v>
      </c>
      <c r="R13">
        <v>0</v>
      </c>
      <c r="S13">
        <v>10</v>
      </c>
      <c r="T13">
        <v>10</v>
      </c>
      <c r="U13">
        <v>3</v>
      </c>
      <c r="Z13">
        <v>22.521383899962501</v>
      </c>
      <c r="AI13">
        <v>22.4925676998682</v>
      </c>
      <c r="AJ13">
        <v>22.521383899962501</v>
      </c>
      <c r="AK13">
        <v>22.521383899962501</v>
      </c>
      <c r="AL13">
        <v>23.9056325999554</v>
      </c>
      <c r="AM13">
        <v>1.02</v>
      </c>
      <c r="AN13">
        <v>1.39715790003538</v>
      </c>
      <c r="BK13" t="s">
        <v>72</v>
      </c>
      <c r="BL13">
        <v>1</v>
      </c>
      <c r="BM13" t="s">
        <v>73</v>
      </c>
      <c r="BN13" t="s">
        <v>74</v>
      </c>
      <c r="BP13" t="s">
        <v>75</v>
      </c>
      <c r="BQ13">
        <v>60.278292864429503</v>
      </c>
      <c r="BR13" t="s">
        <v>76</v>
      </c>
    </row>
    <row r="14" spans="1:70" x14ac:dyDescent="0.45">
      <c r="A14" t="s">
        <v>88</v>
      </c>
      <c r="B14">
        <v>11</v>
      </c>
      <c r="C14">
        <v>11</v>
      </c>
      <c r="D14">
        <v>0</v>
      </c>
      <c r="E14">
        <v>1.02</v>
      </c>
      <c r="F14">
        <v>1.1654747999273201</v>
      </c>
      <c r="R14">
        <v>0</v>
      </c>
      <c r="S14">
        <v>11</v>
      </c>
      <c r="T14">
        <v>11</v>
      </c>
      <c r="U14">
        <v>5</v>
      </c>
      <c r="Z14">
        <v>23.921209200052498</v>
      </c>
      <c r="AI14">
        <v>23.9089524999726</v>
      </c>
      <c r="AJ14">
        <v>23.921209200052498</v>
      </c>
      <c r="AK14">
        <v>23.921209200052498</v>
      </c>
      <c r="AL14">
        <v>25.0896095000207</v>
      </c>
      <c r="AM14">
        <v>1.02</v>
      </c>
      <c r="AN14">
        <v>1.1654747999273201</v>
      </c>
      <c r="BK14" t="s">
        <v>72</v>
      </c>
      <c r="BL14">
        <v>1</v>
      </c>
      <c r="BM14" t="s">
        <v>73</v>
      </c>
      <c r="BN14" t="s">
        <v>74</v>
      </c>
      <c r="BP14" t="s">
        <v>75</v>
      </c>
      <c r="BQ14">
        <v>60.278292864429503</v>
      </c>
      <c r="BR14" t="s">
        <v>76</v>
      </c>
    </row>
    <row r="15" spans="1:70" x14ac:dyDescent="0.45">
      <c r="A15" t="s">
        <v>89</v>
      </c>
      <c r="B15">
        <v>12</v>
      </c>
      <c r="C15">
        <v>12</v>
      </c>
      <c r="D15">
        <v>0</v>
      </c>
      <c r="E15">
        <v>1.02</v>
      </c>
      <c r="F15">
        <v>1.09686070005409</v>
      </c>
      <c r="R15">
        <v>0</v>
      </c>
      <c r="S15">
        <v>12</v>
      </c>
      <c r="T15">
        <v>12</v>
      </c>
      <c r="U15">
        <v>0</v>
      </c>
      <c r="Z15">
        <v>25.1046543000265</v>
      </c>
      <c r="AI15">
        <v>25.0930765999946</v>
      </c>
      <c r="AJ15">
        <v>25.1046543000265</v>
      </c>
      <c r="AK15">
        <v>25.1046543000265</v>
      </c>
      <c r="AL15">
        <v>26.207207999890599</v>
      </c>
      <c r="AM15">
        <v>1.02</v>
      </c>
      <c r="AN15">
        <v>1.09686070005409</v>
      </c>
      <c r="BK15" t="s">
        <v>72</v>
      </c>
      <c r="BL15">
        <v>1</v>
      </c>
      <c r="BM15" t="s">
        <v>73</v>
      </c>
      <c r="BN15" t="s">
        <v>74</v>
      </c>
      <c r="BP15" t="s">
        <v>75</v>
      </c>
      <c r="BQ15">
        <v>60.278292864429503</v>
      </c>
      <c r="BR15" t="s">
        <v>76</v>
      </c>
    </row>
    <row r="16" spans="1:70" x14ac:dyDescent="0.45">
      <c r="A16" t="s">
        <v>90</v>
      </c>
      <c r="B16">
        <v>13</v>
      </c>
      <c r="C16">
        <v>13</v>
      </c>
      <c r="D16">
        <v>0</v>
      </c>
      <c r="E16">
        <v>1.02</v>
      </c>
      <c r="F16">
        <v>1.7291033999062999</v>
      </c>
      <c r="R16">
        <v>0</v>
      </c>
      <c r="S16">
        <v>13</v>
      </c>
      <c r="T16">
        <v>13</v>
      </c>
      <c r="U16">
        <v>1</v>
      </c>
      <c r="Z16">
        <v>26.2380313000176</v>
      </c>
      <c r="AI16">
        <v>26.212258999934399</v>
      </c>
      <c r="AJ16">
        <v>26.2380313000176</v>
      </c>
      <c r="AK16">
        <v>26.2380313000176</v>
      </c>
      <c r="AL16">
        <v>27.957061900058701</v>
      </c>
      <c r="AM16">
        <v>1.02</v>
      </c>
      <c r="AN16">
        <v>1.7291033999062999</v>
      </c>
      <c r="BK16" t="s">
        <v>72</v>
      </c>
      <c r="BL16">
        <v>1</v>
      </c>
      <c r="BM16" t="s">
        <v>73</v>
      </c>
      <c r="BN16" t="s">
        <v>74</v>
      </c>
      <c r="BP16" t="s">
        <v>75</v>
      </c>
      <c r="BQ16">
        <v>60.278292864429503</v>
      </c>
      <c r="BR16" t="s">
        <v>76</v>
      </c>
    </row>
    <row r="17" spans="1:70" x14ac:dyDescent="0.45">
      <c r="A17" t="s">
        <v>91</v>
      </c>
      <c r="B17">
        <v>14</v>
      </c>
      <c r="C17">
        <v>14</v>
      </c>
      <c r="D17">
        <v>0</v>
      </c>
      <c r="E17">
        <v>1.02</v>
      </c>
      <c r="F17">
        <v>1.2131965998560099</v>
      </c>
      <c r="R17">
        <v>0</v>
      </c>
      <c r="S17">
        <v>14</v>
      </c>
      <c r="T17">
        <v>14</v>
      </c>
      <c r="U17">
        <v>10</v>
      </c>
      <c r="Z17">
        <v>27.987982699880298</v>
      </c>
      <c r="AI17">
        <v>27.961478499928401</v>
      </c>
      <c r="AJ17">
        <v>27.987982699880298</v>
      </c>
      <c r="AK17">
        <v>27.987982699880298</v>
      </c>
      <c r="AL17">
        <v>29.1901672999374</v>
      </c>
      <c r="AM17">
        <v>1.02</v>
      </c>
      <c r="AN17">
        <v>1.2131965998560099</v>
      </c>
      <c r="BK17" t="s">
        <v>72</v>
      </c>
      <c r="BL17">
        <v>1</v>
      </c>
      <c r="BM17" t="s">
        <v>73</v>
      </c>
      <c r="BN17" t="s">
        <v>74</v>
      </c>
      <c r="BP17" t="s">
        <v>75</v>
      </c>
      <c r="BQ17">
        <v>60.278292864429503</v>
      </c>
      <c r="BR17" t="s">
        <v>76</v>
      </c>
    </row>
    <row r="18" spans="1:70" x14ac:dyDescent="0.45">
      <c r="AO18">
        <v>29.190347000025199</v>
      </c>
      <c r="AP18">
        <v>29.205698400037299</v>
      </c>
      <c r="AQ18">
        <v>29.205698400037299</v>
      </c>
      <c r="AR18">
        <v>41.339843200053998</v>
      </c>
      <c r="AS18" t="s">
        <v>70</v>
      </c>
      <c r="AT18">
        <v>12.117583099985399</v>
      </c>
      <c r="AU18" t="s">
        <v>71</v>
      </c>
      <c r="BK18" t="s">
        <v>72</v>
      </c>
      <c r="BL18">
        <v>1</v>
      </c>
      <c r="BM18" t="s">
        <v>73</v>
      </c>
      <c r="BN18" t="s">
        <v>74</v>
      </c>
      <c r="BP18" t="s">
        <v>75</v>
      </c>
      <c r="BQ18">
        <v>60.278292864429503</v>
      </c>
      <c r="BR18" t="s">
        <v>76</v>
      </c>
    </row>
    <row r="19" spans="1:70" x14ac:dyDescent="0.45">
      <c r="B19">
        <v>0</v>
      </c>
      <c r="C19">
        <v>0</v>
      </c>
      <c r="D19">
        <v>0</v>
      </c>
      <c r="G19" t="s">
        <v>92</v>
      </c>
      <c r="H19" t="s">
        <v>77</v>
      </c>
      <c r="I19" t="s">
        <v>93</v>
      </c>
      <c r="J19" s="2" t="s">
        <v>77</v>
      </c>
      <c r="K19" t="s">
        <v>94</v>
      </c>
      <c r="L19" t="s">
        <v>95</v>
      </c>
      <c r="M19" t="s">
        <v>96</v>
      </c>
      <c r="N19" t="s">
        <v>97</v>
      </c>
      <c r="O19" t="s">
        <v>97</v>
      </c>
      <c r="P19" t="s">
        <v>98</v>
      </c>
      <c r="Q19" t="s">
        <v>99</v>
      </c>
      <c r="V19">
        <v>0</v>
      </c>
      <c r="W19">
        <v>0</v>
      </c>
      <c r="X19">
        <v>0</v>
      </c>
      <c r="Y19">
        <v>1</v>
      </c>
      <c r="Z19">
        <v>41.387624999973902</v>
      </c>
      <c r="AV19">
        <v>41.362563899950999</v>
      </c>
      <c r="AW19">
        <v>41.387624999973902</v>
      </c>
      <c r="AX19">
        <v>41.387624999973902</v>
      </c>
      <c r="AY19">
        <v>41.387624999973902</v>
      </c>
      <c r="AZ19">
        <v>2.2740999935194801E-2</v>
      </c>
      <c r="BA19">
        <v>51.389187799999398</v>
      </c>
      <c r="BB19">
        <v>54.7907318999059</v>
      </c>
      <c r="BC19" t="s">
        <v>77</v>
      </c>
      <c r="BD19" t="s">
        <v>94</v>
      </c>
      <c r="BE19" t="s">
        <v>95</v>
      </c>
      <c r="BF19" t="s">
        <v>96</v>
      </c>
      <c r="BG19" t="s">
        <v>97</v>
      </c>
      <c r="BH19" t="s">
        <v>97</v>
      </c>
      <c r="BI19" t="s">
        <v>98</v>
      </c>
      <c r="BJ19" t="s">
        <v>99</v>
      </c>
      <c r="BK19" t="s">
        <v>72</v>
      </c>
      <c r="BL19">
        <v>1</v>
      </c>
      <c r="BM19" t="s">
        <v>73</v>
      </c>
      <c r="BN19" t="s">
        <v>74</v>
      </c>
      <c r="BP19" t="s">
        <v>75</v>
      </c>
      <c r="BQ19">
        <v>60.278292864429503</v>
      </c>
      <c r="BR19" t="s">
        <v>76</v>
      </c>
    </row>
    <row r="20" spans="1:70" x14ac:dyDescent="0.45">
      <c r="B20">
        <v>1</v>
      </c>
      <c r="C20">
        <v>1</v>
      </c>
      <c r="D20">
        <v>0</v>
      </c>
      <c r="G20" t="s">
        <v>100</v>
      </c>
      <c r="H20" t="s">
        <v>79</v>
      </c>
      <c r="I20" t="s">
        <v>93</v>
      </c>
      <c r="J20" s="2" t="s">
        <v>79</v>
      </c>
      <c r="K20" t="s">
        <v>94</v>
      </c>
      <c r="L20" t="s">
        <v>95</v>
      </c>
      <c r="M20" t="s">
        <v>96</v>
      </c>
      <c r="N20" t="s">
        <v>97</v>
      </c>
      <c r="O20" t="s">
        <v>97</v>
      </c>
      <c r="P20" t="s">
        <v>101</v>
      </c>
      <c r="Q20" t="s">
        <v>99</v>
      </c>
      <c r="V20">
        <v>0</v>
      </c>
      <c r="W20">
        <v>1</v>
      </c>
      <c r="X20">
        <v>1</v>
      </c>
      <c r="Y20">
        <v>2</v>
      </c>
      <c r="Z20">
        <v>54.8210775000043</v>
      </c>
      <c r="AV20">
        <v>54.795634999871197</v>
      </c>
      <c r="AW20">
        <v>54.8210775000043</v>
      </c>
      <c r="AX20">
        <v>54.8210775000043</v>
      </c>
      <c r="AY20">
        <v>54.8210775000043</v>
      </c>
      <c r="AZ20">
        <v>4.7122000250965296E-3</v>
      </c>
      <c r="BB20">
        <v>60.990794399986001</v>
      </c>
      <c r="BC20" t="s">
        <v>79</v>
      </c>
      <c r="BD20" t="s">
        <v>94</v>
      </c>
      <c r="BE20" t="s">
        <v>95</v>
      </c>
      <c r="BF20" t="s">
        <v>96</v>
      </c>
      <c r="BG20" t="s">
        <v>97</v>
      </c>
      <c r="BH20" t="s">
        <v>97</v>
      </c>
      <c r="BI20" t="s">
        <v>101</v>
      </c>
      <c r="BJ20" t="s">
        <v>99</v>
      </c>
      <c r="BK20" t="s">
        <v>72</v>
      </c>
      <c r="BL20">
        <v>1</v>
      </c>
      <c r="BM20" t="s">
        <v>73</v>
      </c>
      <c r="BN20" t="s">
        <v>74</v>
      </c>
      <c r="BP20" t="s">
        <v>75</v>
      </c>
      <c r="BQ20">
        <v>60.278292864429503</v>
      </c>
      <c r="BR20" t="s">
        <v>76</v>
      </c>
    </row>
    <row r="21" spans="1:70" x14ac:dyDescent="0.45">
      <c r="B21">
        <v>2</v>
      </c>
      <c r="C21">
        <v>2</v>
      </c>
      <c r="D21">
        <v>0</v>
      </c>
      <c r="G21" t="s">
        <v>102</v>
      </c>
      <c r="H21" t="s">
        <v>89</v>
      </c>
      <c r="I21" t="s">
        <v>93</v>
      </c>
      <c r="J21" s="2" t="s">
        <v>89</v>
      </c>
      <c r="K21" t="s">
        <v>94</v>
      </c>
      <c r="L21" t="s">
        <v>95</v>
      </c>
      <c r="M21" t="s">
        <v>96</v>
      </c>
      <c r="N21" t="s">
        <v>97</v>
      </c>
      <c r="O21" t="s">
        <v>97</v>
      </c>
      <c r="P21" t="s">
        <v>103</v>
      </c>
      <c r="Q21" t="s">
        <v>99</v>
      </c>
      <c r="V21">
        <v>0</v>
      </c>
      <c r="W21">
        <v>2</v>
      </c>
      <c r="X21">
        <v>2</v>
      </c>
      <c r="Y21">
        <v>13</v>
      </c>
      <c r="Z21">
        <v>61.021184299839597</v>
      </c>
      <c r="AV21">
        <v>60.995432900032</v>
      </c>
      <c r="AW21">
        <v>61.021184299839597</v>
      </c>
      <c r="AX21">
        <v>61.021184299839597</v>
      </c>
      <c r="AY21">
        <v>61.021184299839597</v>
      </c>
      <c r="AZ21">
        <v>4.4477998744696301E-3</v>
      </c>
      <c r="BB21">
        <v>65.123041199985806</v>
      </c>
      <c r="BC21" t="s">
        <v>89</v>
      </c>
      <c r="BD21" t="s">
        <v>94</v>
      </c>
      <c r="BE21" t="s">
        <v>95</v>
      </c>
      <c r="BF21" t="s">
        <v>96</v>
      </c>
      <c r="BG21" t="s">
        <v>97</v>
      </c>
      <c r="BH21" t="s">
        <v>97</v>
      </c>
      <c r="BI21" t="s">
        <v>103</v>
      </c>
      <c r="BJ21" t="s">
        <v>99</v>
      </c>
      <c r="BK21" t="s">
        <v>72</v>
      </c>
      <c r="BL21">
        <v>1</v>
      </c>
      <c r="BM21" t="s">
        <v>73</v>
      </c>
      <c r="BN21" t="s">
        <v>74</v>
      </c>
      <c r="BP21" t="s">
        <v>75</v>
      </c>
      <c r="BQ21">
        <v>60.278292864429503</v>
      </c>
      <c r="BR21" t="s">
        <v>76</v>
      </c>
    </row>
    <row r="22" spans="1:70" x14ac:dyDescent="0.45">
      <c r="B22">
        <v>3</v>
      </c>
      <c r="C22">
        <v>3</v>
      </c>
      <c r="D22">
        <v>0</v>
      </c>
      <c r="G22" t="s">
        <v>104</v>
      </c>
      <c r="H22" t="s">
        <v>105</v>
      </c>
      <c r="I22" t="s">
        <v>106</v>
      </c>
      <c r="J22" s="1" t="s">
        <v>105</v>
      </c>
      <c r="K22" t="s">
        <v>94</v>
      </c>
      <c r="L22" t="s">
        <v>95</v>
      </c>
      <c r="M22" t="s">
        <v>96</v>
      </c>
      <c r="N22" t="s">
        <v>97</v>
      </c>
      <c r="O22" t="s">
        <v>97</v>
      </c>
      <c r="P22" t="s">
        <v>107</v>
      </c>
      <c r="Q22" t="s">
        <v>99</v>
      </c>
      <c r="V22">
        <v>0</v>
      </c>
      <c r="W22">
        <v>3</v>
      </c>
      <c r="X22">
        <v>3</v>
      </c>
      <c r="Y22">
        <v>19</v>
      </c>
      <c r="Z22">
        <v>65.1534561000298</v>
      </c>
      <c r="AV22">
        <v>65.129193299915599</v>
      </c>
      <c r="AW22">
        <v>65.1534561000298</v>
      </c>
      <c r="AX22">
        <v>65.1534561000298</v>
      </c>
      <c r="AY22">
        <v>65.1534561000298</v>
      </c>
      <c r="AZ22">
        <v>5.8534001000225501E-3</v>
      </c>
      <c r="BB22">
        <v>69.605248400010097</v>
      </c>
      <c r="BC22" t="s">
        <v>105</v>
      </c>
      <c r="BD22" t="s">
        <v>94</v>
      </c>
      <c r="BE22" t="s">
        <v>95</v>
      </c>
      <c r="BF22" t="s">
        <v>96</v>
      </c>
      <c r="BG22" t="s">
        <v>97</v>
      </c>
      <c r="BH22" t="s">
        <v>97</v>
      </c>
      <c r="BI22" t="s">
        <v>107</v>
      </c>
      <c r="BJ22" t="s">
        <v>99</v>
      </c>
      <c r="BK22" t="s">
        <v>72</v>
      </c>
      <c r="BL22">
        <v>1</v>
      </c>
      <c r="BM22" t="s">
        <v>73</v>
      </c>
      <c r="BN22" t="s">
        <v>74</v>
      </c>
      <c r="BP22" t="s">
        <v>75</v>
      </c>
      <c r="BQ22">
        <v>60.278292864429503</v>
      </c>
      <c r="BR22" t="s">
        <v>76</v>
      </c>
    </row>
    <row r="23" spans="1:70" x14ac:dyDescent="0.45">
      <c r="B23">
        <v>4</v>
      </c>
      <c r="C23">
        <v>4</v>
      </c>
      <c r="D23">
        <v>0</v>
      </c>
      <c r="G23" t="s">
        <v>108</v>
      </c>
      <c r="H23" t="s">
        <v>109</v>
      </c>
      <c r="I23" t="s">
        <v>106</v>
      </c>
      <c r="J23" s="1" t="s">
        <v>109</v>
      </c>
      <c r="K23" t="s">
        <v>94</v>
      </c>
      <c r="L23" t="s">
        <v>95</v>
      </c>
      <c r="M23" t="s">
        <v>96</v>
      </c>
      <c r="N23" t="s">
        <v>97</v>
      </c>
      <c r="O23" t="s">
        <v>97</v>
      </c>
      <c r="P23" t="s">
        <v>110</v>
      </c>
      <c r="Q23" t="s">
        <v>99</v>
      </c>
      <c r="V23">
        <v>0</v>
      </c>
      <c r="W23">
        <v>4</v>
      </c>
      <c r="X23">
        <v>4</v>
      </c>
      <c r="Y23">
        <v>17</v>
      </c>
      <c r="Z23">
        <v>69.620958299841703</v>
      </c>
      <c r="AV23">
        <v>69.610168799990703</v>
      </c>
      <c r="AW23">
        <v>69.620958299841703</v>
      </c>
      <c r="AX23">
        <v>69.620958299841703</v>
      </c>
      <c r="AY23">
        <v>69.620958299841703</v>
      </c>
      <c r="AZ23">
        <v>4.7871998976915997E-3</v>
      </c>
      <c r="BB23">
        <v>76.589754799846503</v>
      </c>
      <c r="BC23" t="s">
        <v>109</v>
      </c>
      <c r="BD23" t="s">
        <v>94</v>
      </c>
      <c r="BE23" t="s">
        <v>95</v>
      </c>
      <c r="BF23" t="s">
        <v>96</v>
      </c>
      <c r="BG23" t="s">
        <v>97</v>
      </c>
      <c r="BH23" t="s">
        <v>97</v>
      </c>
      <c r="BI23" t="s">
        <v>110</v>
      </c>
      <c r="BJ23" t="s">
        <v>99</v>
      </c>
      <c r="BK23" t="s">
        <v>72</v>
      </c>
      <c r="BL23">
        <v>1</v>
      </c>
      <c r="BM23" t="s">
        <v>73</v>
      </c>
      <c r="BN23" t="s">
        <v>74</v>
      </c>
      <c r="BP23" t="s">
        <v>75</v>
      </c>
      <c r="BQ23">
        <v>60.278292864429503</v>
      </c>
      <c r="BR23" t="s">
        <v>76</v>
      </c>
    </row>
    <row r="24" spans="1:70" x14ac:dyDescent="0.45">
      <c r="B24">
        <v>5</v>
      </c>
      <c r="C24">
        <v>5</v>
      </c>
      <c r="D24">
        <v>0</v>
      </c>
      <c r="G24" t="s">
        <v>111</v>
      </c>
      <c r="H24" t="s">
        <v>88</v>
      </c>
      <c r="I24" t="s">
        <v>93</v>
      </c>
      <c r="J24" s="2" t="s">
        <v>88</v>
      </c>
      <c r="K24" t="s">
        <v>94</v>
      </c>
      <c r="L24" t="s">
        <v>95</v>
      </c>
      <c r="M24" t="s">
        <v>96</v>
      </c>
      <c r="N24" t="s">
        <v>97</v>
      </c>
      <c r="O24" t="s">
        <v>97</v>
      </c>
      <c r="P24" t="s">
        <v>112</v>
      </c>
      <c r="Q24" t="s">
        <v>99</v>
      </c>
      <c r="V24">
        <v>0</v>
      </c>
      <c r="W24">
        <v>5</v>
      </c>
      <c r="X24">
        <v>5</v>
      </c>
      <c r="Y24">
        <v>0</v>
      </c>
      <c r="Z24">
        <v>76.620596799999404</v>
      </c>
      <c r="AV24">
        <v>76.594551000045598</v>
      </c>
      <c r="AW24">
        <v>76.620596799999404</v>
      </c>
      <c r="AX24">
        <v>76.620596799999404</v>
      </c>
      <c r="AY24">
        <v>76.620596799999404</v>
      </c>
      <c r="AZ24">
        <v>4.5816001947969198E-3</v>
      </c>
      <c r="BB24">
        <v>82.155605099862399</v>
      </c>
      <c r="BC24" t="s">
        <v>88</v>
      </c>
      <c r="BD24" t="s">
        <v>94</v>
      </c>
      <c r="BE24" t="s">
        <v>95</v>
      </c>
      <c r="BF24" t="s">
        <v>96</v>
      </c>
      <c r="BG24" t="s">
        <v>97</v>
      </c>
      <c r="BH24" t="s">
        <v>97</v>
      </c>
      <c r="BI24" t="s">
        <v>112</v>
      </c>
      <c r="BJ24" t="s">
        <v>99</v>
      </c>
      <c r="BK24" t="s">
        <v>72</v>
      </c>
      <c r="BL24">
        <v>1</v>
      </c>
      <c r="BM24" t="s">
        <v>73</v>
      </c>
      <c r="BN24" t="s">
        <v>74</v>
      </c>
      <c r="BP24" t="s">
        <v>75</v>
      </c>
      <c r="BQ24">
        <v>60.278292864429503</v>
      </c>
      <c r="BR24" t="s">
        <v>76</v>
      </c>
    </row>
    <row r="25" spans="1:70" x14ac:dyDescent="0.45">
      <c r="B25">
        <v>6</v>
      </c>
      <c r="C25">
        <v>6</v>
      </c>
      <c r="D25">
        <v>0</v>
      </c>
      <c r="G25" t="s">
        <v>113</v>
      </c>
      <c r="H25" t="s">
        <v>82</v>
      </c>
      <c r="I25" t="s">
        <v>93</v>
      </c>
      <c r="J25" t="s">
        <v>80</v>
      </c>
      <c r="K25" t="s">
        <v>94</v>
      </c>
      <c r="L25" t="s">
        <v>95</v>
      </c>
      <c r="M25" t="s">
        <v>96</v>
      </c>
      <c r="N25" t="s">
        <v>97</v>
      </c>
      <c r="O25" t="s">
        <v>97</v>
      </c>
      <c r="P25" t="s">
        <v>114</v>
      </c>
      <c r="Q25" t="s">
        <v>99</v>
      </c>
      <c r="V25">
        <v>0</v>
      </c>
      <c r="W25">
        <v>6</v>
      </c>
      <c r="X25">
        <v>6</v>
      </c>
      <c r="Y25">
        <v>4</v>
      </c>
      <c r="Z25">
        <v>82.170659099938305</v>
      </c>
      <c r="AV25">
        <v>82.158118600025702</v>
      </c>
      <c r="AW25">
        <v>82.170659099938305</v>
      </c>
      <c r="AX25">
        <v>82.170659099938305</v>
      </c>
      <c r="AY25">
        <v>82.170659099938305</v>
      </c>
      <c r="AZ25">
        <v>2.3606999311596099E-3</v>
      </c>
      <c r="BA25">
        <v>92.170829699840397</v>
      </c>
      <c r="BB25">
        <v>100.639727700036</v>
      </c>
      <c r="BC25" t="s">
        <v>80</v>
      </c>
      <c r="BD25" t="s">
        <v>94</v>
      </c>
      <c r="BE25" t="s">
        <v>95</v>
      </c>
      <c r="BF25" t="s">
        <v>96</v>
      </c>
      <c r="BG25" t="s">
        <v>97</v>
      </c>
      <c r="BH25" t="s">
        <v>97</v>
      </c>
      <c r="BI25" t="s">
        <v>114</v>
      </c>
      <c r="BJ25" t="s">
        <v>99</v>
      </c>
      <c r="BK25" t="s">
        <v>72</v>
      </c>
      <c r="BL25">
        <v>1</v>
      </c>
      <c r="BM25" t="s">
        <v>73</v>
      </c>
      <c r="BN25" t="s">
        <v>74</v>
      </c>
      <c r="BP25" t="s">
        <v>75</v>
      </c>
      <c r="BQ25">
        <v>60.278292864429503</v>
      </c>
      <c r="BR25" t="s">
        <v>76</v>
      </c>
    </row>
    <row r="26" spans="1:70" x14ac:dyDescent="0.45">
      <c r="B26">
        <v>7</v>
      </c>
      <c r="C26">
        <v>7</v>
      </c>
      <c r="D26">
        <v>0</v>
      </c>
      <c r="G26" t="s">
        <v>115</v>
      </c>
      <c r="H26" t="s">
        <v>80</v>
      </c>
      <c r="I26" t="s">
        <v>93</v>
      </c>
      <c r="J26" s="2" t="s">
        <v>80</v>
      </c>
      <c r="K26" t="s">
        <v>94</v>
      </c>
      <c r="L26" t="s">
        <v>95</v>
      </c>
      <c r="M26" t="s">
        <v>96</v>
      </c>
      <c r="N26" t="s">
        <v>97</v>
      </c>
      <c r="O26" t="s">
        <v>97</v>
      </c>
      <c r="P26" t="s">
        <v>116</v>
      </c>
      <c r="Q26" t="s">
        <v>99</v>
      </c>
      <c r="V26">
        <v>0</v>
      </c>
      <c r="W26">
        <v>7</v>
      </c>
      <c r="X26">
        <v>7</v>
      </c>
      <c r="Y26">
        <v>9</v>
      </c>
      <c r="Z26">
        <v>100.654254799941</v>
      </c>
      <c r="AV26">
        <v>100.64356999984</v>
      </c>
      <c r="AW26">
        <v>100.654254799941</v>
      </c>
      <c r="AX26">
        <v>100.654254799941</v>
      </c>
      <c r="AY26">
        <v>100.654254799941</v>
      </c>
      <c r="AZ26">
        <v>3.6944001913070601E-3</v>
      </c>
      <c r="BB26">
        <v>107.5710638999</v>
      </c>
      <c r="BC26" t="s">
        <v>80</v>
      </c>
      <c r="BD26" t="s">
        <v>94</v>
      </c>
      <c r="BE26" t="s">
        <v>95</v>
      </c>
      <c r="BF26" t="s">
        <v>96</v>
      </c>
      <c r="BG26" t="s">
        <v>97</v>
      </c>
      <c r="BH26" t="s">
        <v>97</v>
      </c>
      <c r="BI26" t="s">
        <v>116</v>
      </c>
      <c r="BJ26" t="s">
        <v>99</v>
      </c>
      <c r="BK26" t="s">
        <v>72</v>
      </c>
      <c r="BL26">
        <v>1</v>
      </c>
      <c r="BM26" t="s">
        <v>73</v>
      </c>
      <c r="BN26" t="s">
        <v>74</v>
      </c>
      <c r="BP26" t="s">
        <v>75</v>
      </c>
      <c r="BQ26">
        <v>60.278292864429503</v>
      </c>
      <c r="BR26" t="s">
        <v>76</v>
      </c>
    </row>
    <row r="27" spans="1:70" x14ac:dyDescent="0.45">
      <c r="B27">
        <v>8</v>
      </c>
      <c r="C27">
        <v>8</v>
      </c>
      <c r="D27">
        <v>0</v>
      </c>
      <c r="G27" t="s">
        <v>117</v>
      </c>
      <c r="H27" t="s">
        <v>118</v>
      </c>
      <c r="I27" t="s">
        <v>106</v>
      </c>
      <c r="J27" s="1" t="s">
        <v>118</v>
      </c>
      <c r="K27" t="s">
        <v>94</v>
      </c>
      <c r="L27" t="s">
        <v>95</v>
      </c>
      <c r="M27" t="s">
        <v>96</v>
      </c>
      <c r="N27" t="s">
        <v>97</v>
      </c>
      <c r="O27" t="s">
        <v>97</v>
      </c>
      <c r="P27" t="s">
        <v>119</v>
      </c>
      <c r="Q27" t="s">
        <v>99</v>
      </c>
      <c r="V27">
        <v>0</v>
      </c>
      <c r="W27">
        <v>8</v>
      </c>
      <c r="X27">
        <v>8</v>
      </c>
      <c r="Y27">
        <v>18</v>
      </c>
      <c r="Z27">
        <v>107.587178800022</v>
      </c>
      <c r="AV27">
        <v>107.573421600041</v>
      </c>
      <c r="AW27">
        <v>107.587178800022</v>
      </c>
      <c r="AX27">
        <v>107.587178800022</v>
      </c>
      <c r="AY27">
        <v>107.587178800022</v>
      </c>
      <c r="AZ27">
        <v>2.26190011017024E-3</v>
      </c>
      <c r="BB27">
        <v>113.63861779985</v>
      </c>
      <c r="BC27" t="s">
        <v>118</v>
      </c>
      <c r="BD27" t="s">
        <v>94</v>
      </c>
      <c r="BE27" t="s">
        <v>95</v>
      </c>
      <c r="BF27" t="s">
        <v>96</v>
      </c>
      <c r="BG27" t="s">
        <v>97</v>
      </c>
      <c r="BH27" t="s">
        <v>97</v>
      </c>
      <c r="BI27" t="s">
        <v>119</v>
      </c>
      <c r="BJ27" t="s">
        <v>99</v>
      </c>
      <c r="BK27" t="s">
        <v>72</v>
      </c>
      <c r="BL27">
        <v>1</v>
      </c>
      <c r="BM27" t="s">
        <v>73</v>
      </c>
      <c r="BN27" t="s">
        <v>74</v>
      </c>
      <c r="BP27" t="s">
        <v>75</v>
      </c>
      <c r="BQ27">
        <v>60.278292864429503</v>
      </c>
      <c r="BR27" t="s">
        <v>76</v>
      </c>
    </row>
    <row r="28" spans="1:70" x14ac:dyDescent="0.45">
      <c r="B28">
        <v>9</v>
      </c>
      <c r="C28">
        <v>9</v>
      </c>
      <c r="D28">
        <v>0</v>
      </c>
      <c r="G28" t="s">
        <v>120</v>
      </c>
      <c r="H28" t="s">
        <v>90</v>
      </c>
      <c r="I28" t="s">
        <v>93</v>
      </c>
      <c r="J28" t="s">
        <v>121</v>
      </c>
      <c r="K28" t="s">
        <v>94</v>
      </c>
      <c r="L28" t="s">
        <v>95</v>
      </c>
      <c r="M28" t="s">
        <v>96</v>
      </c>
      <c r="N28" t="s">
        <v>97</v>
      </c>
      <c r="O28" t="s">
        <v>97</v>
      </c>
      <c r="P28" t="s">
        <v>122</v>
      </c>
      <c r="Q28" t="s">
        <v>99</v>
      </c>
      <c r="V28">
        <v>0</v>
      </c>
      <c r="W28">
        <v>9</v>
      </c>
      <c r="X28">
        <v>9</v>
      </c>
      <c r="Y28">
        <v>14</v>
      </c>
      <c r="Z28">
        <v>113.65396000002499</v>
      </c>
      <c r="AV28">
        <v>113.642207100056</v>
      </c>
      <c r="AW28">
        <v>113.65396000002499</v>
      </c>
      <c r="AX28">
        <v>113.65396000002499</v>
      </c>
      <c r="AY28">
        <v>113.65396000002499</v>
      </c>
      <c r="AZ28">
        <v>3.4602000378072201E-3</v>
      </c>
      <c r="BA28">
        <v>123.655271499883</v>
      </c>
      <c r="BB28">
        <v>125.106496599968</v>
      </c>
      <c r="BC28" t="s">
        <v>121</v>
      </c>
      <c r="BD28" t="s">
        <v>94</v>
      </c>
      <c r="BE28" t="s">
        <v>95</v>
      </c>
      <c r="BF28" t="s">
        <v>96</v>
      </c>
      <c r="BG28" t="s">
        <v>97</v>
      </c>
      <c r="BH28" t="s">
        <v>97</v>
      </c>
      <c r="BI28" t="s">
        <v>122</v>
      </c>
      <c r="BJ28" t="s">
        <v>99</v>
      </c>
      <c r="BK28" t="s">
        <v>72</v>
      </c>
      <c r="BL28">
        <v>1</v>
      </c>
      <c r="BM28" t="s">
        <v>73</v>
      </c>
      <c r="BN28" t="s">
        <v>74</v>
      </c>
      <c r="BP28" t="s">
        <v>75</v>
      </c>
      <c r="BQ28">
        <v>60.278292864429503</v>
      </c>
      <c r="BR28" t="s">
        <v>76</v>
      </c>
    </row>
    <row r="29" spans="1:70" x14ac:dyDescent="0.45">
      <c r="B29">
        <v>10</v>
      </c>
      <c r="C29">
        <v>10</v>
      </c>
      <c r="D29">
        <v>0</v>
      </c>
      <c r="G29" t="s">
        <v>123</v>
      </c>
      <c r="H29" t="s">
        <v>84</v>
      </c>
      <c r="I29" t="s">
        <v>93</v>
      </c>
      <c r="K29" t="s">
        <v>94</v>
      </c>
      <c r="L29" t="s">
        <v>95</v>
      </c>
      <c r="M29" t="s">
        <v>96</v>
      </c>
      <c r="N29" t="s">
        <v>97</v>
      </c>
      <c r="O29" t="s">
        <v>97</v>
      </c>
      <c r="P29" t="s">
        <v>124</v>
      </c>
      <c r="Q29" t="s">
        <v>99</v>
      </c>
      <c r="V29">
        <v>0</v>
      </c>
      <c r="W29">
        <v>10</v>
      </c>
      <c r="X29">
        <v>10</v>
      </c>
      <c r="Y29">
        <v>6</v>
      </c>
      <c r="Z29">
        <v>125.137519299983</v>
      </c>
      <c r="AV29">
        <v>125.11166729987499</v>
      </c>
      <c r="AW29">
        <v>125.137519299983</v>
      </c>
      <c r="AX29">
        <v>125.137519299983</v>
      </c>
      <c r="AY29">
        <v>125.137519299983</v>
      </c>
      <c r="AZ29">
        <v>4.90529998205602E-3</v>
      </c>
      <c r="BA29">
        <v>135.13864120002799</v>
      </c>
      <c r="BB29">
        <v>139.78834239998801</v>
      </c>
      <c r="BD29" t="s">
        <v>94</v>
      </c>
      <c r="BE29" t="s">
        <v>95</v>
      </c>
      <c r="BF29" t="s">
        <v>96</v>
      </c>
      <c r="BG29" t="s">
        <v>97</v>
      </c>
      <c r="BH29" t="s">
        <v>97</v>
      </c>
      <c r="BI29" t="s">
        <v>124</v>
      </c>
      <c r="BJ29" t="s">
        <v>99</v>
      </c>
      <c r="BK29" t="s">
        <v>72</v>
      </c>
      <c r="BL29">
        <v>1</v>
      </c>
      <c r="BM29" t="s">
        <v>73</v>
      </c>
      <c r="BN29" t="s">
        <v>74</v>
      </c>
      <c r="BP29" t="s">
        <v>75</v>
      </c>
      <c r="BQ29">
        <v>60.278292864429503</v>
      </c>
      <c r="BR29" t="s">
        <v>76</v>
      </c>
    </row>
    <row r="30" spans="1:70" x14ac:dyDescent="0.45">
      <c r="B30">
        <v>11</v>
      </c>
      <c r="C30">
        <v>11</v>
      </c>
      <c r="D30">
        <v>0</v>
      </c>
      <c r="G30" t="s">
        <v>125</v>
      </c>
      <c r="H30" t="s">
        <v>91</v>
      </c>
      <c r="I30" t="s">
        <v>93</v>
      </c>
      <c r="J30" s="2" t="s">
        <v>91</v>
      </c>
      <c r="K30" t="s">
        <v>126</v>
      </c>
      <c r="L30" t="s">
        <v>127</v>
      </c>
      <c r="M30" t="s">
        <v>96</v>
      </c>
      <c r="N30" t="s">
        <v>97</v>
      </c>
      <c r="O30" t="s">
        <v>97</v>
      </c>
      <c r="P30" t="s">
        <v>128</v>
      </c>
      <c r="Q30" t="s">
        <v>99</v>
      </c>
      <c r="V30">
        <v>0</v>
      </c>
      <c r="W30">
        <v>11</v>
      </c>
      <c r="X30">
        <v>11</v>
      </c>
      <c r="Y30">
        <v>5</v>
      </c>
      <c r="Z30">
        <v>139.80406989995299</v>
      </c>
      <c r="AV30">
        <v>139.79059170000201</v>
      </c>
      <c r="AW30">
        <v>139.80406989995299</v>
      </c>
      <c r="AX30">
        <v>139.80406989995299</v>
      </c>
      <c r="AY30">
        <v>139.80406989995299</v>
      </c>
      <c r="AZ30">
        <v>2.16469983570277E-3</v>
      </c>
      <c r="BB30">
        <v>145.38793669990201</v>
      </c>
      <c r="BC30" t="s">
        <v>91</v>
      </c>
      <c r="BD30" t="s">
        <v>126</v>
      </c>
      <c r="BE30" t="s">
        <v>127</v>
      </c>
      <c r="BF30" t="s">
        <v>96</v>
      </c>
      <c r="BG30" t="s">
        <v>97</v>
      </c>
      <c r="BH30" t="s">
        <v>97</v>
      </c>
      <c r="BI30" t="s">
        <v>128</v>
      </c>
      <c r="BJ30" t="s">
        <v>99</v>
      </c>
      <c r="BK30" t="s">
        <v>72</v>
      </c>
      <c r="BL30">
        <v>1</v>
      </c>
      <c r="BM30" t="s">
        <v>73</v>
      </c>
      <c r="BN30" t="s">
        <v>74</v>
      </c>
      <c r="BP30" t="s">
        <v>75</v>
      </c>
      <c r="BQ30">
        <v>60.278292864429503</v>
      </c>
      <c r="BR30" t="s">
        <v>76</v>
      </c>
    </row>
    <row r="31" spans="1:70" x14ac:dyDescent="0.45">
      <c r="B31">
        <v>12</v>
      </c>
      <c r="C31">
        <v>12</v>
      </c>
      <c r="D31">
        <v>0</v>
      </c>
      <c r="G31" t="s">
        <v>129</v>
      </c>
      <c r="H31" t="s">
        <v>86</v>
      </c>
      <c r="I31" t="s">
        <v>93</v>
      </c>
      <c r="J31" s="2" t="s">
        <v>86</v>
      </c>
      <c r="K31" t="s">
        <v>126</v>
      </c>
      <c r="L31" t="s">
        <v>127</v>
      </c>
      <c r="M31" t="s">
        <v>96</v>
      </c>
      <c r="N31" t="s">
        <v>97</v>
      </c>
      <c r="O31" t="s">
        <v>97</v>
      </c>
      <c r="P31" t="s">
        <v>130</v>
      </c>
      <c r="Q31" t="s">
        <v>99</v>
      </c>
      <c r="V31">
        <v>0</v>
      </c>
      <c r="W31">
        <v>12</v>
      </c>
      <c r="X31">
        <v>12</v>
      </c>
      <c r="Y31">
        <v>8</v>
      </c>
      <c r="Z31">
        <v>145.40388530003801</v>
      </c>
      <c r="AV31">
        <v>145.39015459991001</v>
      </c>
      <c r="AW31">
        <v>145.40388530003801</v>
      </c>
      <c r="AX31">
        <v>145.40388530003801</v>
      </c>
      <c r="AY31">
        <v>145.40388530003801</v>
      </c>
      <c r="AZ31">
        <v>2.1328998263925301E-3</v>
      </c>
      <c r="BB31">
        <v>149.540311599848</v>
      </c>
      <c r="BC31" t="s">
        <v>86</v>
      </c>
      <c r="BD31" t="s">
        <v>126</v>
      </c>
      <c r="BE31" t="s">
        <v>127</v>
      </c>
      <c r="BF31" t="s">
        <v>96</v>
      </c>
      <c r="BG31" t="s">
        <v>97</v>
      </c>
      <c r="BH31" t="s">
        <v>97</v>
      </c>
      <c r="BI31" t="s">
        <v>130</v>
      </c>
      <c r="BJ31" t="s">
        <v>99</v>
      </c>
      <c r="BK31" t="s">
        <v>72</v>
      </c>
      <c r="BL31">
        <v>1</v>
      </c>
      <c r="BM31" t="s">
        <v>73</v>
      </c>
      <c r="BN31" t="s">
        <v>74</v>
      </c>
      <c r="BP31" t="s">
        <v>75</v>
      </c>
      <c r="BQ31">
        <v>60.278292864429503</v>
      </c>
      <c r="BR31" t="s">
        <v>76</v>
      </c>
    </row>
    <row r="32" spans="1:70" x14ac:dyDescent="0.45">
      <c r="B32">
        <v>13</v>
      </c>
      <c r="C32">
        <v>13</v>
      </c>
      <c r="D32">
        <v>0</v>
      </c>
      <c r="G32" t="s">
        <v>131</v>
      </c>
      <c r="H32" t="s">
        <v>132</v>
      </c>
      <c r="I32" t="s">
        <v>106</v>
      </c>
      <c r="J32" s="1" t="s">
        <v>132</v>
      </c>
      <c r="K32" t="s">
        <v>126</v>
      </c>
      <c r="L32" t="s">
        <v>127</v>
      </c>
      <c r="M32" t="s">
        <v>96</v>
      </c>
      <c r="N32" t="s">
        <v>97</v>
      </c>
      <c r="O32" t="s">
        <v>97</v>
      </c>
      <c r="P32" t="s">
        <v>133</v>
      </c>
      <c r="Q32" t="s">
        <v>99</v>
      </c>
      <c r="V32">
        <v>0</v>
      </c>
      <c r="W32">
        <v>13</v>
      </c>
      <c r="X32">
        <v>13</v>
      </c>
      <c r="Y32">
        <v>16</v>
      </c>
      <c r="Z32">
        <v>149.570758899906</v>
      </c>
      <c r="AV32">
        <v>149.546079499879</v>
      </c>
      <c r="AW32">
        <v>149.570758899906</v>
      </c>
      <c r="AX32">
        <v>149.570758899906</v>
      </c>
      <c r="AY32">
        <v>149.570758899906</v>
      </c>
      <c r="AZ32">
        <v>5.5811000056564799E-3</v>
      </c>
      <c r="BB32">
        <v>158.755124599905</v>
      </c>
      <c r="BC32" t="s">
        <v>132</v>
      </c>
      <c r="BD32" t="s">
        <v>126</v>
      </c>
      <c r="BE32" t="s">
        <v>127</v>
      </c>
      <c r="BF32" t="s">
        <v>96</v>
      </c>
      <c r="BG32" t="s">
        <v>97</v>
      </c>
      <c r="BH32" t="s">
        <v>97</v>
      </c>
      <c r="BI32" t="s">
        <v>133</v>
      </c>
      <c r="BJ32" t="s">
        <v>99</v>
      </c>
      <c r="BK32" t="s">
        <v>72</v>
      </c>
      <c r="BL32">
        <v>1</v>
      </c>
      <c r="BM32" t="s">
        <v>73</v>
      </c>
      <c r="BN32" t="s">
        <v>74</v>
      </c>
      <c r="BP32" t="s">
        <v>75</v>
      </c>
      <c r="BQ32">
        <v>60.278292864429503</v>
      </c>
      <c r="BR32" t="s">
        <v>76</v>
      </c>
    </row>
    <row r="33" spans="2:70" x14ac:dyDescent="0.45">
      <c r="B33">
        <v>14</v>
      </c>
      <c r="C33">
        <v>14</v>
      </c>
      <c r="D33">
        <v>0</v>
      </c>
      <c r="G33" t="s">
        <v>134</v>
      </c>
      <c r="H33" t="s">
        <v>83</v>
      </c>
      <c r="I33" t="s">
        <v>93</v>
      </c>
      <c r="K33" t="s">
        <v>126</v>
      </c>
      <c r="L33" t="s">
        <v>127</v>
      </c>
      <c r="M33" t="s">
        <v>96</v>
      </c>
      <c r="N33" t="s">
        <v>97</v>
      </c>
      <c r="O33" t="s">
        <v>97</v>
      </c>
      <c r="P33" t="s">
        <v>135</v>
      </c>
      <c r="Q33" t="s">
        <v>99</v>
      </c>
      <c r="V33">
        <v>0</v>
      </c>
      <c r="W33">
        <v>14</v>
      </c>
      <c r="X33">
        <v>14</v>
      </c>
      <c r="Y33">
        <v>12</v>
      </c>
      <c r="Z33">
        <v>158.77031339984299</v>
      </c>
      <c r="AV33">
        <v>158.75731909996799</v>
      </c>
      <c r="AW33">
        <v>158.77031339984299</v>
      </c>
      <c r="AX33">
        <v>158.77031339984299</v>
      </c>
      <c r="AY33">
        <v>158.77031339984299</v>
      </c>
      <c r="AZ33">
        <v>2.1053999662399201E-3</v>
      </c>
      <c r="BA33">
        <v>168.770996100036</v>
      </c>
      <c r="BB33">
        <v>182.40488359983999</v>
      </c>
      <c r="BD33" t="s">
        <v>126</v>
      </c>
      <c r="BE33" t="s">
        <v>127</v>
      </c>
      <c r="BF33" t="s">
        <v>96</v>
      </c>
      <c r="BG33" t="s">
        <v>97</v>
      </c>
      <c r="BH33" t="s">
        <v>97</v>
      </c>
      <c r="BI33" t="s">
        <v>135</v>
      </c>
      <c r="BJ33" t="s">
        <v>99</v>
      </c>
      <c r="BK33" t="s">
        <v>72</v>
      </c>
      <c r="BL33">
        <v>1</v>
      </c>
      <c r="BM33" t="s">
        <v>73</v>
      </c>
      <c r="BN33" t="s">
        <v>74</v>
      </c>
      <c r="BP33" t="s">
        <v>75</v>
      </c>
      <c r="BQ33">
        <v>60.278292864429503</v>
      </c>
      <c r="BR33" t="s">
        <v>76</v>
      </c>
    </row>
    <row r="34" spans="2:70" x14ac:dyDescent="0.45">
      <c r="B34">
        <v>15</v>
      </c>
      <c r="C34">
        <v>15</v>
      </c>
      <c r="D34">
        <v>0</v>
      </c>
      <c r="G34" t="s">
        <v>136</v>
      </c>
      <c r="H34" t="s">
        <v>85</v>
      </c>
      <c r="I34" t="s">
        <v>93</v>
      </c>
      <c r="K34" t="s">
        <v>126</v>
      </c>
      <c r="L34" t="s">
        <v>127</v>
      </c>
      <c r="M34" t="s">
        <v>96</v>
      </c>
      <c r="N34" t="s">
        <v>97</v>
      </c>
      <c r="O34" t="s">
        <v>97</v>
      </c>
      <c r="P34" t="s">
        <v>137</v>
      </c>
      <c r="Q34" t="s">
        <v>99</v>
      </c>
      <c r="V34">
        <v>0</v>
      </c>
      <c r="W34">
        <v>15</v>
      </c>
      <c r="X34">
        <v>15</v>
      </c>
      <c r="Y34">
        <v>10</v>
      </c>
      <c r="Z34">
        <v>182.42036870005501</v>
      </c>
      <c r="AV34">
        <v>182.40775520005201</v>
      </c>
      <c r="AW34">
        <v>182.42036870005501</v>
      </c>
      <c r="AX34">
        <v>182.42036870005501</v>
      </c>
      <c r="AY34">
        <v>182.42036870005501</v>
      </c>
      <c r="AZ34">
        <v>2.76959990151226E-3</v>
      </c>
      <c r="BA34">
        <v>192.42142659984501</v>
      </c>
      <c r="BB34">
        <v>196.105276999995</v>
      </c>
      <c r="BD34" t="s">
        <v>126</v>
      </c>
      <c r="BE34" t="s">
        <v>127</v>
      </c>
      <c r="BF34" t="s">
        <v>96</v>
      </c>
      <c r="BG34" t="s">
        <v>97</v>
      </c>
      <c r="BH34" t="s">
        <v>97</v>
      </c>
      <c r="BI34" t="s">
        <v>137</v>
      </c>
      <c r="BJ34" t="s">
        <v>99</v>
      </c>
      <c r="BK34" t="s">
        <v>72</v>
      </c>
      <c r="BL34">
        <v>1</v>
      </c>
      <c r="BM34" t="s">
        <v>73</v>
      </c>
      <c r="BN34" t="s">
        <v>74</v>
      </c>
      <c r="BP34" t="s">
        <v>75</v>
      </c>
      <c r="BQ34">
        <v>60.278292864429503</v>
      </c>
      <c r="BR34" t="s">
        <v>76</v>
      </c>
    </row>
    <row r="35" spans="2:70" x14ac:dyDescent="0.45">
      <c r="B35">
        <v>16</v>
      </c>
      <c r="C35">
        <v>16</v>
      </c>
      <c r="D35">
        <v>0</v>
      </c>
      <c r="G35" t="s">
        <v>138</v>
      </c>
      <c r="H35" t="s">
        <v>81</v>
      </c>
      <c r="I35" t="s">
        <v>93</v>
      </c>
      <c r="J35" s="2" t="s">
        <v>81</v>
      </c>
      <c r="K35" t="s">
        <v>126</v>
      </c>
      <c r="L35" t="s">
        <v>127</v>
      </c>
      <c r="M35" t="s">
        <v>96</v>
      </c>
      <c r="N35" t="s">
        <v>97</v>
      </c>
      <c r="O35" t="s">
        <v>97</v>
      </c>
      <c r="P35" t="s">
        <v>139</v>
      </c>
      <c r="Q35" t="s">
        <v>99</v>
      </c>
      <c r="V35">
        <v>0</v>
      </c>
      <c r="W35">
        <v>16</v>
      </c>
      <c r="X35">
        <v>16</v>
      </c>
      <c r="Y35">
        <v>7</v>
      </c>
      <c r="Z35">
        <v>196.13652239996</v>
      </c>
      <c r="AV35">
        <v>196.10992860002401</v>
      </c>
      <c r="AW35">
        <v>196.13652239996</v>
      </c>
      <c r="AX35">
        <v>196.13652239996</v>
      </c>
      <c r="AY35">
        <v>196.13652239996</v>
      </c>
      <c r="AZ35">
        <v>4.5244998764246702E-3</v>
      </c>
      <c r="BB35">
        <v>202.389863499905</v>
      </c>
      <c r="BC35" t="s">
        <v>81</v>
      </c>
      <c r="BD35" t="s">
        <v>126</v>
      </c>
      <c r="BE35" t="s">
        <v>127</v>
      </c>
      <c r="BF35" t="s">
        <v>96</v>
      </c>
      <c r="BG35" t="s">
        <v>97</v>
      </c>
      <c r="BH35" t="s">
        <v>97</v>
      </c>
      <c r="BI35" t="s">
        <v>139</v>
      </c>
      <c r="BJ35" t="s">
        <v>99</v>
      </c>
      <c r="BK35" t="s">
        <v>72</v>
      </c>
      <c r="BL35">
        <v>1</v>
      </c>
      <c r="BM35" t="s">
        <v>73</v>
      </c>
      <c r="BN35" t="s">
        <v>74</v>
      </c>
      <c r="BP35" t="s">
        <v>75</v>
      </c>
      <c r="BQ35">
        <v>60.278292864429503</v>
      </c>
      <c r="BR35" t="s">
        <v>76</v>
      </c>
    </row>
    <row r="36" spans="2:70" x14ac:dyDescent="0.45">
      <c r="B36">
        <v>17</v>
      </c>
      <c r="C36">
        <v>17</v>
      </c>
      <c r="D36">
        <v>0</v>
      </c>
      <c r="G36" t="s">
        <v>140</v>
      </c>
      <c r="H36" t="s">
        <v>87</v>
      </c>
      <c r="I36" t="s">
        <v>93</v>
      </c>
      <c r="K36" t="s">
        <v>126</v>
      </c>
      <c r="L36" t="s">
        <v>127</v>
      </c>
      <c r="M36" t="s">
        <v>96</v>
      </c>
      <c r="N36" t="s">
        <v>97</v>
      </c>
      <c r="O36" t="s">
        <v>97</v>
      </c>
      <c r="P36" t="s">
        <v>141</v>
      </c>
      <c r="Q36" t="s">
        <v>99</v>
      </c>
      <c r="V36">
        <v>0</v>
      </c>
      <c r="W36">
        <v>17</v>
      </c>
      <c r="X36">
        <v>17</v>
      </c>
      <c r="Y36">
        <v>11</v>
      </c>
      <c r="Z36">
        <v>202.420286000007</v>
      </c>
      <c r="AV36">
        <v>202.39547899994</v>
      </c>
      <c r="AW36">
        <v>202.420286000007</v>
      </c>
      <c r="AX36">
        <v>202.420286000007</v>
      </c>
      <c r="AY36">
        <v>202.420286000007</v>
      </c>
      <c r="AZ36">
        <v>5.4288001265376798E-3</v>
      </c>
      <c r="BA36">
        <v>212.420607799896</v>
      </c>
      <c r="BB36">
        <v>221.97241359995601</v>
      </c>
      <c r="BD36" t="s">
        <v>126</v>
      </c>
      <c r="BE36" t="s">
        <v>127</v>
      </c>
      <c r="BF36" t="s">
        <v>96</v>
      </c>
      <c r="BG36" t="s">
        <v>97</v>
      </c>
      <c r="BH36" t="s">
        <v>97</v>
      </c>
      <c r="BI36" t="s">
        <v>141</v>
      </c>
      <c r="BJ36" t="s">
        <v>99</v>
      </c>
      <c r="BK36" t="s">
        <v>72</v>
      </c>
      <c r="BL36">
        <v>1</v>
      </c>
      <c r="BM36" t="s">
        <v>73</v>
      </c>
      <c r="BN36" t="s">
        <v>74</v>
      </c>
      <c r="BP36" t="s">
        <v>75</v>
      </c>
      <c r="BQ36">
        <v>60.278292864429503</v>
      </c>
      <c r="BR36" t="s">
        <v>76</v>
      </c>
    </row>
    <row r="37" spans="2:70" x14ac:dyDescent="0.45">
      <c r="B37">
        <v>18</v>
      </c>
      <c r="C37">
        <v>18</v>
      </c>
      <c r="D37">
        <v>0</v>
      </c>
      <c r="G37" t="s">
        <v>142</v>
      </c>
      <c r="H37" t="s">
        <v>78</v>
      </c>
      <c r="I37" t="s">
        <v>93</v>
      </c>
      <c r="J37" s="2" t="s">
        <v>78</v>
      </c>
      <c r="K37" t="s">
        <v>126</v>
      </c>
      <c r="L37" t="s">
        <v>127</v>
      </c>
      <c r="M37" t="s">
        <v>96</v>
      </c>
      <c r="N37" t="s">
        <v>97</v>
      </c>
      <c r="O37" t="s">
        <v>97</v>
      </c>
      <c r="P37" t="s">
        <v>143</v>
      </c>
      <c r="Q37" t="s">
        <v>99</v>
      </c>
      <c r="V37">
        <v>0</v>
      </c>
      <c r="W37">
        <v>18</v>
      </c>
      <c r="X37">
        <v>18</v>
      </c>
      <c r="Y37">
        <v>3</v>
      </c>
      <c r="Z37">
        <v>222.00364589993799</v>
      </c>
      <c r="AV37">
        <v>221.976954599842</v>
      </c>
      <c r="AW37">
        <v>222.00364589993799</v>
      </c>
      <c r="AX37">
        <v>222.00364589993799</v>
      </c>
      <c r="AY37">
        <v>222.00364589993799</v>
      </c>
      <c r="AZ37">
        <v>4.3715001083910396E-3</v>
      </c>
      <c r="BB37">
        <v>227.573241499951</v>
      </c>
      <c r="BC37" t="s">
        <v>78</v>
      </c>
      <c r="BD37" t="s">
        <v>126</v>
      </c>
      <c r="BE37" t="s">
        <v>127</v>
      </c>
      <c r="BF37" t="s">
        <v>96</v>
      </c>
      <c r="BG37" t="s">
        <v>97</v>
      </c>
      <c r="BH37" t="s">
        <v>97</v>
      </c>
      <c r="BI37" t="s">
        <v>143</v>
      </c>
      <c r="BJ37" t="s">
        <v>99</v>
      </c>
      <c r="BK37" t="s">
        <v>72</v>
      </c>
      <c r="BL37">
        <v>1</v>
      </c>
      <c r="BM37" t="s">
        <v>73</v>
      </c>
      <c r="BN37" t="s">
        <v>74</v>
      </c>
      <c r="BP37" t="s">
        <v>75</v>
      </c>
      <c r="BQ37">
        <v>60.278292864429503</v>
      </c>
      <c r="BR37" t="s">
        <v>76</v>
      </c>
    </row>
    <row r="38" spans="2:70" x14ac:dyDescent="0.45">
      <c r="B38">
        <v>19</v>
      </c>
      <c r="C38">
        <v>19</v>
      </c>
      <c r="D38">
        <v>0</v>
      </c>
      <c r="G38" t="s">
        <v>144</v>
      </c>
      <c r="H38" t="s">
        <v>145</v>
      </c>
      <c r="I38" t="s">
        <v>106</v>
      </c>
      <c r="J38" s="1" t="s">
        <v>145</v>
      </c>
      <c r="K38" t="s">
        <v>126</v>
      </c>
      <c r="L38" t="s">
        <v>127</v>
      </c>
      <c r="M38" t="s">
        <v>96</v>
      </c>
      <c r="N38" t="s">
        <v>97</v>
      </c>
      <c r="O38" t="s">
        <v>97</v>
      </c>
      <c r="P38" t="s">
        <v>146</v>
      </c>
      <c r="Q38" t="s">
        <v>99</v>
      </c>
      <c r="V38">
        <v>0</v>
      </c>
      <c r="W38">
        <v>19</v>
      </c>
      <c r="X38">
        <v>19</v>
      </c>
      <c r="Y38">
        <v>15</v>
      </c>
      <c r="Z38">
        <v>227.60379009996501</v>
      </c>
      <c r="AV38">
        <v>227.57814599992699</v>
      </c>
      <c r="AW38">
        <v>227.60379009996501</v>
      </c>
      <c r="AX38">
        <v>227.60379009996501</v>
      </c>
      <c r="AY38">
        <v>227.60379009996501</v>
      </c>
      <c r="AZ38">
        <v>4.7161001712083799E-3</v>
      </c>
      <c r="BB38">
        <v>233.540647899964</v>
      </c>
      <c r="BC38" t="s">
        <v>145</v>
      </c>
      <c r="BD38" t="s">
        <v>126</v>
      </c>
      <c r="BE38" t="s">
        <v>127</v>
      </c>
      <c r="BF38" t="s">
        <v>96</v>
      </c>
      <c r="BG38" t="s">
        <v>97</v>
      </c>
      <c r="BH38" t="s">
        <v>97</v>
      </c>
      <c r="BI38" t="s">
        <v>146</v>
      </c>
      <c r="BJ38" t="s">
        <v>99</v>
      </c>
      <c r="BK38" t="s">
        <v>72</v>
      </c>
      <c r="BL38">
        <v>1</v>
      </c>
      <c r="BM38" t="s">
        <v>73</v>
      </c>
      <c r="BN38" t="s">
        <v>74</v>
      </c>
      <c r="BP38" t="s">
        <v>75</v>
      </c>
      <c r="BQ38">
        <v>60.278292864429503</v>
      </c>
      <c r="BR38" t="s">
        <v>76</v>
      </c>
    </row>
    <row r="41" spans="2:70" x14ac:dyDescent="0.45">
      <c r="G41" s="3" t="s">
        <v>147</v>
      </c>
      <c r="H41" s="3"/>
      <c r="I41" s="3"/>
      <c r="J41">
        <v>9</v>
      </c>
      <c r="K41">
        <f>9/15</f>
        <v>0.6</v>
      </c>
    </row>
    <row r="42" spans="2:70" x14ac:dyDescent="0.45">
      <c r="G42" s="3" t="s">
        <v>148</v>
      </c>
      <c r="H42" s="3"/>
      <c r="I42" s="3"/>
      <c r="J42">
        <v>5</v>
      </c>
      <c r="K42">
        <f>5/5</f>
        <v>1</v>
      </c>
    </row>
    <row r="44" spans="2:70" x14ac:dyDescent="0.45">
      <c r="G44" s="3" t="s">
        <v>149</v>
      </c>
      <c r="H44" s="3"/>
      <c r="I44" s="3"/>
      <c r="J44">
        <f>K41-K42</f>
        <v>-0.4</v>
      </c>
    </row>
  </sheetData>
  <mergeCells count="3">
    <mergeCell ref="G41:I41"/>
    <mergeCell ref="G42:I42"/>
    <mergeCell ref="G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2_raw data + analys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2025-10-15T17:24:56Z</dcterms:created>
  <dcterms:modified xsi:type="dcterms:W3CDTF">2025-10-16T08:54:47Z</dcterms:modified>
</cp:coreProperties>
</file>