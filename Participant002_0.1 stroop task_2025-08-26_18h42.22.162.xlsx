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0.1 stroop_task\data\"/>
    </mc:Choice>
  </mc:AlternateContent>
  <xr:revisionPtr revIDLastSave="0" documentId="13_ncr:9_{20A5C08E-5F58-4501-9402-1F93C9E389B2}" xr6:coauthVersionLast="47" xr6:coauthVersionMax="47" xr10:uidLastSave="{00000000-0000-0000-0000-000000000000}"/>
  <bookViews>
    <workbookView xWindow="-98" yWindow="-98" windowWidth="24196" windowHeight="14476" xr2:uid="{F0E1F25D-7295-4A1C-A5F9-1D0E6002CAF8}"/>
  </bookViews>
  <sheets>
    <sheet name="002_0.1 stroop task_2025-08-26_" sheetId="1" r:id="rId1"/>
  </sheets>
  <calcPr calcId="0"/>
</workbook>
</file>

<file path=xl/calcChain.xml><?xml version="1.0" encoding="utf-8"?>
<calcChain xmlns="http://schemas.openxmlformats.org/spreadsheetml/2006/main">
  <c r="G49" i="1" l="1"/>
  <c r="F49" i="1"/>
  <c r="F51" i="1" l="1"/>
  <c r="G48" i="1"/>
  <c r="F48" i="1"/>
</calcChain>
</file>

<file path=xl/sharedStrings.xml><?xml version="1.0" encoding="utf-8"?>
<sst xmlns="http://schemas.openxmlformats.org/spreadsheetml/2006/main" count="536" uniqueCount="61">
  <si>
    <t>word</t>
  </si>
  <si>
    <t>colour</t>
  </si>
  <si>
    <t>stimulus_condition</t>
  </si>
  <si>
    <t>correct_response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</si>
  <si>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</si>
  <si>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</si>
  <si>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</si>
  <si>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</si>
  <si>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</si>
  <si>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</si>
  <si>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</si>
  <si>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</si>
  <si>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</si>
  <si>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</si>
  <si>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</si>
  <si>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</si>
  <si>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</si>
  <si>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</si>
  <si>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</si>
  <si>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</si>
  <si>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</si>
  <si>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</si>
  <si>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</si>
  <si>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</si>
  <si>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</si>
  <si>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</si>
  <si>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</si>
  <si>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</si>
  <si>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</si>
  <si>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</si>
  <si>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</si>
  <si>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thank_you.started</t>
  </si>
  <si>
    <t>text_3.started</t>
  </si>
  <si>
    <t>text_3.stopped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</si>
  <si>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</si>
  <si>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</si>
  <si>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</si>
  <si>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</si>
  <si>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</si>
  <si>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</si>
  <si>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</si>
  <si>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</si>
  <si>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</si>
  <si>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2025-08-26_18h42.22.162</t>
  </si>
  <si>
    <t>0.1 stroop task</t>
  </si>
  <si>
    <t>2025.1.1</t>
  </si>
  <si>
    <t>2025-08-26 18h42.27.142403 +0530</t>
  </si>
  <si>
    <t>RED</t>
  </si>
  <si>
    <t>red</t>
  </si>
  <si>
    <t>cong</t>
  </si>
  <si>
    <t>r</t>
  </si>
  <si>
    <t>None</t>
  </si>
  <si>
    <t>BLUE</t>
  </si>
  <si>
    <t>incong</t>
  </si>
  <si>
    <t>b</t>
  </si>
  <si>
    <t>blue</t>
  </si>
  <si>
    <t>Mean Reaction Time</t>
  </si>
  <si>
    <t>stdev</t>
  </si>
  <si>
    <t>Congruent</t>
  </si>
  <si>
    <t>Incongruent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</si>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</sst>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'002_0.1 stroop task_2025-08-26_'!$F$47</c:f>
              <c:strCache>
                <c:ptCount val="1"/>
                <c:pt idx="0">
                  <c:v>Mean Reaction 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'002_0.1 stroop task_2025-08-26_'!$G$48:$G$49</c:f>
                <c:numCache>
                  <c:formatCode>General</c:formatCode>
                  <c:ptCount val="2"/>
                  <c:pt idx="0">
                    <c:v>203.37470949495093</c:v>
                  </c:pt>
                  <c:pt idx="1">
                    <c:v>183.55183415084662</c:v>
                  </c:pt>
                </c:numCache>
              </c:numRef>
            </c:plus>
            <c:minus>
              <c:numRef>
                <c:f>'002_0.1 stroop task_2025-08-26_'!$G$48:$G$49</c:f>
                <c:numCache>
                  <c:formatCode>General</c:formatCode>
                  <c:ptCount val="2"/>
                  <c:pt idx="0">
                    <c:v>203.37470949495093</c:v>
                  </c:pt>
                  <c:pt idx="1">
                    <c:v>183.55183415084662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'002_0.1 stroop task_2025-08-26_'!$E$48:$E$49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'002_0.1 stroop task_2025-08-26_'!$F$48:$F$49</c:f>
              <c:numCache>
                <c:formatCode>General</c:formatCode>
                <c:ptCount val="2"/>
                <c:pt idx="0">
                  <c:v>638.30227499711282</c:v>
                </c:pt>
                <c:pt idx="1">
                  <c:v>752.10415262814558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1-4F7E-845B-6142DBFC2B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6884384"/>
        <c:axId val="456886784"/>
      </c:barChart>
      <c:catAx>
        <c:axId val="45688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86784"/>
        <c:crosses val="autoZero"/>
        <c:auto val="1"/>
        <c:lblAlgn val="ctr"/>
        <c:lblOffset val="100"/>
        <c:noMultiLvlLbl val="0"/>
      </c:catAx>
      <c:valAx>
        <c:axId val="4568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  <a:r>
                  <a:rPr lang="en-IN" baseline="0"/>
                  <a:t>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445292</xdr:colOff>
      <xdr:row>46</xdr:row>
      <xdr:rowOff>19048</xdr:rowOff>
    </xdr:from>
    <xdr:to>
      <xdr:col>15</xdr:col>
      <xdr:colOff>128587</xdr:colOff>
      <xdr:row>65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E528D-D83E-24EE-0FB2-A99A946F8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6446-5288-4CCF-B5A0-2836988E3947}">
  <dimension ref="A1:AQ51"/>
  <sheetViews>
    <sheetView tabSelected="1" workbookViewId="0">
      <selection activeCell="E58" sqref="E58"/>
    </sheetView>
  </sheetViews>
  <sheetFormatPr defaultRowHeight="14.25" x14ac:dyDescent="0.45"/>
  <sheetData>
    <row r="1" spans="1:4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45">
      <c r="R2">
        <v>2.81959999119862E-3</v>
      </c>
      <c r="S2">
        <v>7.1408999501727504E-3</v>
      </c>
      <c r="T2">
        <v>1.0100791999720899</v>
      </c>
      <c r="U2">
        <v>0.99149489996489104</v>
      </c>
      <c r="AJ2">
        <v>2</v>
      </c>
      <c r="AK2">
        <v>1</v>
      </c>
      <c r="AL2" t="s">
        <v>43</v>
      </c>
      <c r="AM2" t="s">
        <v>44</v>
      </c>
      <c r="AO2" t="s">
        <v>45</v>
      </c>
      <c r="AP2">
        <v>59.911450877882999</v>
      </c>
      <c r="AQ2" t="s">
        <v>46</v>
      </c>
    </row>
    <row r="3" spans="1:43" x14ac:dyDescent="0.45">
      <c r="A3" t="s">
        <v>47</v>
      </c>
      <c r="B3" t="s">
        <v>48</v>
      </c>
      <c r="C3" t="s">
        <v>49</v>
      </c>
      <c r="D3" t="s">
        <v>50</v>
      </c>
      <c r="E3">
        <v>0</v>
      </c>
      <c r="F3">
        <v>0</v>
      </c>
      <c r="G3">
        <v>0</v>
      </c>
      <c r="H3" t="s">
        <v>50</v>
      </c>
      <c r="I3">
        <v>1</v>
      </c>
      <c r="J3">
        <v>1.2982319999719001</v>
      </c>
      <c r="K3" t="s">
        <v>51</v>
      </c>
      <c r="L3">
        <v>0</v>
      </c>
      <c r="M3">
        <v>0</v>
      </c>
      <c r="N3">
        <v>0</v>
      </c>
      <c r="O3">
        <v>0</v>
      </c>
      <c r="P3">
        <v>1.0100791999720899</v>
      </c>
      <c r="V3">
        <v>1.0061150999972499</v>
      </c>
      <c r="W3">
        <v>1.0100791999720899</v>
      </c>
      <c r="X3">
        <v>1.5080126999528101</v>
      </c>
      <c r="Y3">
        <v>1.5080126999528101</v>
      </c>
      <c r="Z3">
        <v>1.5080126999528101</v>
      </c>
      <c r="AA3">
        <v>2.8721878999494899</v>
      </c>
      <c r="AB3" t="s">
        <v>50</v>
      </c>
      <c r="AC3">
        <v>1</v>
      </c>
      <c r="AD3">
        <v>1.2982319999719001</v>
      </c>
      <c r="AE3" t="s">
        <v>51</v>
      </c>
      <c r="AJ3">
        <v>2</v>
      </c>
      <c r="AK3">
        <v>1</v>
      </c>
      <c r="AL3" t="s">
        <v>43</v>
      </c>
      <c r="AM3" t="s">
        <v>44</v>
      </c>
      <c r="AO3" t="s">
        <v>45</v>
      </c>
      <c r="AP3">
        <v>59.911450877882999</v>
      </c>
      <c r="AQ3" t="s">
        <v>46</v>
      </c>
    </row>
    <row r="4" spans="1:43" x14ac:dyDescent="0.45">
      <c r="A4" t="s">
        <v>52</v>
      </c>
      <c r="B4" t="s">
        <v>55</v>
      </c>
      <c r="C4" t="s">
        <v>49</v>
      </c>
      <c r="D4" t="s">
        <v>54</v>
      </c>
      <c r="E4">
        <v>3</v>
      </c>
      <c r="F4">
        <v>3</v>
      </c>
      <c r="G4">
        <v>0</v>
      </c>
      <c r="H4" t="s">
        <v>54</v>
      </c>
      <c r="I4">
        <v>1</v>
      </c>
      <c r="J4">
        <v>0.76045419997535602</v>
      </c>
      <c r="K4" t="s">
        <v>51</v>
      </c>
      <c r="L4">
        <v>0</v>
      </c>
      <c r="M4">
        <v>3</v>
      </c>
      <c r="N4">
        <v>3</v>
      </c>
      <c r="O4">
        <v>2</v>
      </c>
      <c r="P4">
        <v>5.5574748999788399</v>
      </c>
      <c r="V4">
        <v>2.8771745999692899</v>
      </c>
      <c r="W4">
        <v>2.8801588999922298</v>
      </c>
      <c r="X4">
        <v>3.3743215999566001</v>
      </c>
      <c r="Y4">
        <v>3.3743215999566001</v>
      </c>
      <c r="Z4">
        <v>3.3743215999566001</v>
      </c>
      <c r="AA4">
        <v>4.0083973999717202</v>
      </c>
      <c r="AB4" t="s">
        <v>54</v>
      </c>
      <c r="AC4">
        <v>0</v>
      </c>
      <c r="AD4">
        <v>0.627375299984123</v>
      </c>
      <c r="AE4" t="s">
        <v>51</v>
      </c>
      <c r="AJ4">
        <v>2</v>
      </c>
      <c r="AK4">
        <v>1</v>
      </c>
      <c r="AL4" t="s">
        <v>43</v>
      </c>
      <c r="AM4" t="s">
        <v>44</v>
      </c>
      <c r="AO4" t="s">
        <v>45</v>
      </c>
      <c r="AP4">
        <v>59.911450877882999</v>
      </c>
      <c r="AQ4" t="s">
        <v>46</v>
      </c>
    </row>
    <row r="5" spans="1:43" x14ac:dyDescent="0.45">
      <c r="A5" t="s">
        <v>52</v>
      </c>
      <c r="B5" t="s">
        <v>55</v>
      </c>
      <c r="C5" t="s">
        <v>49</v>
      </c>
      <c r="D5" t="s">
        <v>54</v>
      </c>
      <c r="E5">
        <v>5</v>
      </c>
      <c r="F5">
        <v>1</v>
      </c>
      <c r="G5">
        <v>1</v>
      </c>
      <c r="H5" t="s">
        <v>54</v>
      </c>
      <c r="I5">
        <v>1</v>
      </c>
      <c r="J5">
        <v>0.79003900004317895</v>
      </c>
      <c r="K5" t="s">
        <v>51</v>
      </c>
      <c r="L5">
        <v>1</v>
      </c>
      <c r="M5">
        <v>1</v>
      </c>
      <c r="N5">
        <v>5</v>
      </c>
      <c r="O5">
        <v>2</v>
      </c>
      <c r="P5">
        <v>8.2237607999704707</v>
      </c>
      <c r="V5">
        <v>4.0129294999642298</v>
      </c>
      <c r="W5">
        <v>4.0238461999688298</v>
      </c>
      <c r="X5">
        <v>4.5071445999783402</v>
      </c>
      <c r="Y5">
        <v>4.5071445999783402</v>
      </c>
      <c r="Z5">
        <v>4.5071445999783402</v>
      </c>
      <c r="AA5">
        <v>5.5413929999922402</v>
      </c>
      <c r="AB5" t="s">
        <v>54</v>
      </c>
      <c r="AC5">
        <v>1</v>
      </c>
      <c r="AD5">
        <v>1.02682010002899</v>
      </c>
      <c r="AE5" t="s">
        <v>51</v>
      </c>
      <c r="AJ5">
        <v>2</v>
      </c>
      <c r="AK5">
        <v>1</v>
      </c>
      <c r="AL5" t="s">
        <v>43</v>
      </c>
      <c r="AM5" t="s">
        <v>44</v>
      </c>
      <c r="AO5" t="s">
        <v>45</v>
      </c>
      <c r="AP5">
        <v>59.911450877882999</v>
      </c>
      <c r="AQ5" t="s">
        <v>46</v>
      </c>
    </row>
    <row r="6" spans="1:43" x14ac:dyDescent="0.45">
      <c r="A6" t="s">
        <v>47</v>
      </c>
      <c r="B6" t="s">
        <v>48</v>
      </c>
      <c r="C6" t="s">
        <v>49</v>
      </c>
      <c r="D6" t="s">
        <v>50</v>
      </c>
      <c r="E6">
        <v>6</v>
      </c>
      <c r="F6">
        <v>2</v>
      </c>
      <c r="G6">
        <v>1</v>
      </c>
      <c r="H6" t="s">
        <v>50</v>
      </c>
      <c r="I6">
        <v>1</v>
      </c>
      <c r="J6">
        <v>0.67528000002494004</v>
      </c>
      <c r="K6" t="s">
        <v>51</v>
      </c>
      <c r="L6">
        <v>1</v>
      </c>
      <c r="M6">
        <v>2</v>
      </c>
      <c r="N6">
        <v>6</v>
      </c>
      <c r="O6">
        <v>0</v>
      </c>
      <c r="P6">
        <v>9.5235683000064402</v>
      </c>
      <c r="V6">
        <v>5.5440609999932304</v>
      </c>
      <c r="W6">
        <v>5.5574748999788399</v>
      </c>
      <c r="X6">
        <v>6.0412017999915397</v>
      </c>
      <c r="Y6">
        <v>6.0412017999915397</v>
      </c>
      <c r="Z6">
        <v>6.0412017999915397</v>
      </c>
      <c r="AA6">
        <v>6.8084559999988397</v>
      </c>
      <c r="AB6" t="s">
        <v>54</v>
      </c>
      <c r="AC6">
        <v>1</v>
      </c>
      <c r="AD6">
        <v>0.76045419997535602</v>
      </c>
      <c r="AE6" t="s">
        <v>51</v>
      </c>
      <c r="AJ6">
        <v>2</v>
      </c>
      <c r="AK6">
        <v>1</v>
      </c>
      <c r="AL6" t="s">
        <v>43</v>
      </c>
      <c r="AM6" t="s">
        <v>44</v>
      </c>
      <c r="AO6" t="s">
        <v>45</v>
      </c>
      <c r="AP6">
        <v>59.911450877882999</v>
      </c>
      <c r="AQ6" t="s">
        <v>46</v>
      </c>
    </row>
    <row r="7" spans="1:43" x14ac:dyDescent="0.45">
      <c r="A7" t="s">
        <v>47</v>
      </c>
      <c r="B7" t="s">
        <v>48</v>
      </c>
      <c r="C7" t="s">
        <v>49</v>
      </c>
      <c r="D7" t="s">
        <v>50</v>
      </c>
      <c r="E7">
        <v>10</v>
      </c>
      <c r="F7">
        <v>2</v>
      </c>
      <c r="G7">
        <v>2</v>
      </c>
      <c r="H7" t="s">
        <v>50</v>
      </c>
      <c r="I7">
        <v>1</v>
      </c>
      <c r="J7">
        <v>0.89079110004240603</v>
      </c>
      <c r="K7" t="s">
        <v>51</v>
      </c>
      <c r="L7">
        <v>2</v>
      </c>
      <c r="M7">
        <v>2</v>
      </c>
      <c r="N7">
        <v>10</v>
      </c>
      <c r="O7">
        <v>0</v>
      </c>
      <c r="P7">
        <v>14.8910483999643</v>
      </c>
      <c r="V7">
        <v>6.8093112999922596</v>
      </c>
      <c r="W7">
        <v>6.82457860000431</v>
      </c>
      <c r="X7">
        <v>7.3074214999796796</v>
      </c>
      <c r="Y7">
        <v>7.3074214999796796</v>
      </c>
      <c r="Z7">
        <v>7.3074214999796796</v>
      </c>
      <c r="AA7">
        <v>8.20762879995163</v>
      </c>
      <c r="AB7" t="s">
        <v>50</v>
      </c>
      <c r="AC7">
        <v>1</v>
      </c>
      <c r="AD7">
        <v>0.895180999999865</v>
      </c>
      <c r="AE7" t="s">
        <v>51</v>
      </c>
      <c r="AJ7">
        <v>2</v>
      </c>
      <c r="AK7">
        <v>1</v>
      </c>
      <c r="AL7" t="s">
        <v>43</v>
      </c>
      <c r="AM7" t="s">
        <v>44</v>
      </c>
      <c r="AO7" t="s">
        <v>45</v>
      </c>
      <c r="AP7">
        <v>59.911450877882999</v>
      </c>
      <c r="AQ7" t="s">
        <v>46</v>
      </c>
    </row>
    <row r="8" spans="1:43" x14ac:dyDescent="0.45">
      <c r="A8" t="s">
        <v>52</v>
      </c>
      <c r="B8" t="s">
        <v>55</v>
      </c>
      <c r="C8" t="s">
        <v>49</v>
      </c>
      <c r="D8" t="s">
        <v>54</v>
      </c>
      <c r="E8">
        <v>11</v>
      </c>
      <c r="F8">
        <v>3</v>
      </c>
      <c r="G8">
        <v>2</v>
      </c>
      <c r="H8" t="s">
        <v>54</v>
      </c>
      <c r="I8">
        <v>1</v>
      </c>
      <c r="J8">
        <v>0.51520610001170997</v>
      </c>
      <c r="K8" t="s">
        <v>51</v>
      </c>
      <c r="L8">
        <v>2</v>
      </c>
      <c r="M8">
        <v>3</v>
      </c>
      <c r="N8">
        <v>11</v>
      </c>
      <c r="O8">
        <v>2</v>
      </c>
      <c r="P8">
        <v>16.291027600003801</v>
      </c>
      <c r="V8">
        <v>8.20845889998599</v>
      </c>
      <c r="W8">
        <v>8.2237607999704707</v>
      </c>
      <c r="X8">
        <v>8.7070895999786408</v>
      </c>
      <c r="Y8">
        <v>8.7070895999786408</v>
      </c>
      <c r="Z8">
        <v>8.7070895999786408</v>
      </c>
      <c r="AA8">
        <v>9.5077845999621697</v>
      </c>
      <c r="AB8" t="s">
        <v>54</v>
      </c>
      <c r="AC8">
        <v>1</v>
      </c>
      <c r="AD8">
        <v>0.79003900004317895</v>
      </c>
      <c r="AE8" t="s">
        <v>51</v>
      </c>
      <c r="AJ8">
        <v>2</v>
      </c>
      <c r="AK8">
        <v>1</v>
      </c>
      <c r="AL8" t="s">
        <v>43</v>
      </c>
      <c r="AM8" t="s">
        <v>44</v>
      </c>
      <c r="AO8" t="s">
        <v>45</v>
      </c>
      <c r="AP8">
        <v>59.911450877882999</v>
      </c>
      <c r="AQ8" t="s">
        <v>46</v>
      </c>
    </row>
    <row r="9" spans="1:43" x14ac:dyDescent="0.45">
      <c r="A9" t="s">
        <v>47</v>
      </c>
      <c r="B9" t="s">
        <v>48</v>
      </c>
      <c r="C9" t="s">
        <v>49</v>
      </c>
      <c r="D9" t="s">
        <v>50</v>
      </c>
      <c r="E9">
        <v>12</v>
      </c>
      <c r="F9">
        <v>0</v>
      </c>
      <c r="G9">
        <v>3</v>
      </c>
      <c r="H9" t="s">
        <v>50</v>
      </c>
      <c r="I9">
        <v>1</v>
      </c>
      <c r="J9">
        <v>0.77107199997408304</v>
      </c>
      <c r="K9" t="s">
        <v>51</v>
      </c>
      <c r="L9">
        <v>3</v>
      </c>
      <c r="M9">
        <v>0</v>
      </c>
      <c r="N9">
        <v>12</v>
      </c>
      <c r="O9">
        <v>0</v>
      </c>
      <c r="P9">
        <v>17.307548099954101</v>
      </c>
      <c r="V9">
        <v>9.5115385999670199</v>
      </c>
      <c r="W9">
        <v>9.5235683000064402</v>
      </c>
      <c r="X9">
        <v>10.007044899975799</v>
      </c>
      <c r="Y9">
        <v>10.007044899975799</v>
      </c>
      <c r="Z9">
        <v>10.007044899975799</v>
      </c>
      <c r="AA9">
        <v>10.691769899975</v>
      </c>
      <c r="AB9" t="s">
        <v>50</v>
      </c>
      <c r="AC9">
        <v>1</v>
      </c>
      <c r="AD9">
        <v>0.67528000002494004</v>
      </c>
      <c r="AE9" t="s">
        <v>51</v>
      </c>
      <c r="AJ9">
        <v>2</v>
      </c>
      <c r="AK9">
        <v>1</v>
      </c>
      <c r="AL9" t="s">
        <v>43</v>
      </c>
      <c r="AM9" t="s">
        <v>44</v>
      </c>
      <c r="AO9" t="s">
        <v>45</v>
      </c>
      <c r="AP9">
        <v>59.911450877882999</v>
      </c>
      <c r="AQ9" t="s">
        <v>46</v>
      </c>
    </row>
    <row r="10" spans="1:43" x14ac:dyDescent="0.45">
      <c r="A10" t="s">
        <v>52</v>
      </c>
      <c r="B10" t="s">
        <v>55</v>
      </c>
      <c r="C10" t="s">
        <v>49</v>
      </c>
      <c r="D10" t="s">
        <v>54</v>
      </c>
      <c r="E10">
        <v>14</v>
      </c>
      <c r="F10">
        <v>2</v>
      </c>
      <c r="G10">
        <v>3</v>
      </c>
      <c r="H10" t="s">
        <v>54</v>
      </c>
      <c r="I10">
        <v>1</v>
      </c>
      <c r="J10">
        <v>0.71903300000121795</v>
      </c>
      <c r="K10" t="s">
        <v>51</v>
      </c>
      <c r="L10">
        <v>3</v>
      </c>
      <c r="M10">
        <v>2</v>
      </c>
      <c r="N10">
        <v>14</v>
      </c>
      <c r="O10">
        <v>2</v>
      </c>
      <c r="P10">
        <v>20.024561199999798</v>
      </c>
      <c r="V10">
        <v>10.6925836000009</v>
      </c>
      <c r="W10">
        <v>10.707883699971701</v>
      </c>
      <c r="X10">
        <v>11.1910712999524</v>
      </c>
      <c r="Y10">
        <v>11.1910712999524</v>
      </c>
      <c r="Z10">
        <v>11.1910712999524</v>
      </c>
      <c r="AA10">
        <v>11.991662699961999</v>
      </c>
      <c r="AB10" t="s">
        <v>54</v>
      </c>
      <c r="AC10">
        <v>1</v>
      </c>
      <c r="AD10">
        <v>0.78928779996931497</v>
      </c>
      <c r="AE10" t="s">
        <v>51</v>
      </c>
      <c r="AJ10">
        <v>2</v>
      </c>
      <c r="AK10">
        <v>1</v>
      </c>
      <c r="AL10" t="s">
        <v>43</v>
      </c>
      <c r="AM10" t="s">
        <v>44</v>
      </c>
      <c r="AO10" t="s">
        <v>45</v>
      </c>
      <c r="AP10">
        <v>59.911450877882999</v>
      </c>
      <c r="AQ10" t="s">
        <v>46</v>
      </c>
    </row>
    <row r="11" spans="1:43" x14ac:dyDescent="0.45">
      <c r="A11" t="s">
        <v>47</v>
      </c>
      <c r="B11" t="s">
        <v>48</v>
      </c>
      <c r="C11" t="s">
        <v>49</v>
      </c>
      <c r="D11" t="s">
        <v>50</v>
      </c>
      <c r="E11">
        <v>16</v>
      </c>
      <c r="F11">
        <v>0</v>
      </c>
      <c r="G11">
        <v>4</v>
      </c>
      <c r="H11" t="s">
        <v>50</v>
      </c>
      <c r="I11">
        <v>1</v>
      </c>
      <c r="J11">
        <v>0.60467660002177503</v>
      </c>
      <c r="K11" t="s">
        <v>51</v>
      </c>
      <c r="L11">
        <v>4</v>
      </c>
      <c r="M11">
        <v>0</v>
      </c>
      <c r="N11">
        <v>16</v>
      </c>
      <c r="O11">
        <v>0</v>
      </c>
      <c r="P11">
        <v>22.774548199959099</v>
      </c>
      <c r="V11">
        <v>11.9925076999934</v>
      </c>
      <c r="W11">
        <v>12.007899199961599</v>
      </c>
      <c r="X11">
        <v>12.491130999987901</v>
      </c>
      <c r="Y11">
        <v>12.491130999987901</v>
      </c>
      <c r="Z11">
        <v>12.491130999987901</v>
      </c>
      <c r="AA11">
        <v>13.3583470999728</v>
      </c>
      <c r="AB11" t="s">
        <v>54</v>
      </c>
      <c r="AC11">
        <v>1</v>
      </c>
      <c r="AD11">
        <v>0.855445299996063</v>
      </c>
      <c r="AE11" t="s">
        <v>51</v>
      </c>
      <c r="AJ11">
        <v>2</v>
      </c>
      <c r="AK11">
        <v>1</v>
      </c>
      <c r="AL11" t="s">
        <v>43</v>
      </c>
      <c r="AM11" t="s">
        <v>44</v>
      </c>
      <c r="AO11" t="s">
        <v>45</v>
      </c>
      <c r="AP11">
        <v>59.911450877882999</v>
      </c>
      <c r="AQ11" t="s">
        <v>46</v>
      </c>
    </row>
    <row r="12" spans="1:43" x14ac:dyDescent="0.45">
      <c r="A12" t="s">
        <v>52</v>
      </c>
      <c r="B12" t="s">
        <v>55</v>
      </c>
      <c r="C12" t="s">
        <v>49</v>
      </c>
      <c r="D12" t="s">
        <v>54</v>
      </c>
      <c r="E12">
        <v>17</v>
      </c>
      <c r="F12">
        <v>1</v>
      </c>
      <c r="G12">
        <v>4</v>
      </c>
      <c r="H12" t="s">
        <v>54</v>
      </c>
      <c r="I12">
        <v>1</v>
      </c>
      <c r="J12">
        <v>0.64418259996455096</v>
      </c>
      <c r="K12" t="s">
        <v>51</v>
      </c>
      <c r="L12">
        <v>4</v>
      </c>
      <c r="M12">
        <v>1</v>
      </c>
      <c r="N12">
        <v>17</v>
      </c>
      <c r="O12">
        <v>2</v>
      </c>
      <c r="P12">
        <v>23.891083900001799</v>
      </c>
      <c r="V12">
        <v>13.3630769999581</v>
      </c>
      <c r="W12">
        <v>13.374368499964399</v>
      </c>
      <c r="X12">
        <v>13.8577790999552</v>
      </c>
      <c r="Y12">
        <v>13.8577790999552</v>
      </c>
      <c r="Z12">
        <v>13.8577790999552</v>
      </c>
      <c r="AA12">
        <v>14.875038600002799</v>
      </c>
      <c r="AB12" t="s">
        <v>50</v>
      </c>
      <c r="AC12">
        <v>1</v>
      </c>
      <c r="AD12">
        <v>1.0043978999601599</v>
      </c>
      <c r="AE12" t="s">
        <v>51</v>
      </c>
      <c r="AJ12">
        <v>2</v>
      </c>
      <c r="AK12">
        <v>1</v>
      </c>
      <c r="AL12" t="s">
        <v>43</v>
      </c>
      <c r="AM12" t="s">
        <v>44</v>
      </c>
      <c r="AO12" t="s">
        <v>45</v>
      </c>
      <c r="AP12">
        <v>59.911450877882999</v>
      </c>
      <c r="AQ12" t="s">
        <v>46</v>
      </c>
    </row>
    <row r="13" spans="1:43" x14ac:dyDescent="0.45">
      <c r="A13" t="s">
        <v>52</v>
      </c>
      <c r="B13" t="s">
        <v>55</v>
      </c>
      <c r="C13" t="s">
        <v>49</v>
      </c>
      <c r="D13" t="s">
        <v>54</v>
      </c>
      <c r="E13">
        <v>22</v>
      </c>
      <c r="F13">
        <v>2</v>
      </c>
      <c r="G13">
        <v>5</v>
      </c>
      <c r="H13" t="s">
        <v>54</v>
      </c>
      <c r="I13">
        <v>1</v>
      </c>
      <c r="J13">
        <v>0.49231200001668102</v>
      </c>
      <c r="K13" t="s">
        <v>51</v>
      </c>
      <c r="L13">
        <v>5</v>
      </c>
      <c r="M13">
        <v>2</v>
      </c>
      <c r="N13">
        <v>22</v>
      </c>
      <c r="O13">
        <v>2</v>
      </c>
      <c r="P13">
        <v>29.656774299975901</v>
      </c>
      <c r="V13">
        <v>14.8792897999519</v>
      </c>
      <c r="W13">
        <v>14.8910483999643</v>
      </c>
      <c r="X13">
        <v>15.3744774999795</v>
      </c>
      <c r="Y13">
        <v>15.3744774999795</v>
      </c>
      <c r="Z13">
        <v>15.3744774999795</v>
      </c>
      <c r="AA13">
        <v>16.274893899972</v>
      </c>
      <c r="AB13" t="s">
        <v>50</v>
      </c>
      <c r="AC13">
        <v>1</v>
      </c>
      <c r="AD13">
        <v>0.89079110004240603</v>
      </c>
      <c r="AE13" t="s">
        <v>51</v>
      </c>
      <c r="AJ13">
        <v>2</v>
      </c>
      <c r="AK13">
        <v>1</v>
      </c>
      <c r="AL13" t="s">
        <v>43</v>
      </c>
      <c r="AM13" t="s">
        <v>44</v>
      </c>
      <c r="AO13" t="s">
        <v>45</v>
      </c>
      <c r="AP13">
        <v>59.911450877882999</v>
      </c>
      <c r="AQ13" t="s">
        <v>46</v>
      </c>
    </row>
    <row r="14" spans="1:43" x14ac:dyDescent="0.45">
      <c r="A14" t="s">
        <v>47</v>
      </c>
      <c r="B14" t="s">
        <v>48</v>
      </c>
      <c r="C14" t="s">
        <v>49</v>
      </c>
      <c r="D14" t="s">
        <v>50</v>
      </c>
      <c r="E14">
        <v>23</v>
      </c>
      <c r="F14">
        <v>3</v>
      </c>
      <c r="G14">
        <v>5</v>
      </c>
      <c r="H14" t="s">
        <v>50</v>
      </c>
      <c r="I14">
        <v>1</v>
      </c>
      <c r="J14">
        <v>0.48302419995889001</v>
      </c>
      <c r="K14" t="s">
        <v>51</v>
      </c>
      <c r="L14">
        <v>5</v>
      </c>
      <c r="M14">
        <v>3</v>
      </c>
      <c r="N14">
        <v>23</v>
      </c>
      <c r="O14">
        <v>0</v>
      </c>
      <c r="P14">
        <v>30.657656800001799</v>
      </c>
      <c r="V14">
        <v>16.279243199969599</v>
      </c>
      <c r="W14">
        <v>16.291027600003801</v>
      </c>
      <c r="X14">
        <v>16.774443499976702</v>
      </c>
      <c r="Y14">
        <v>16.774443499976702</v>
      </c>
      <c r="Z14">
        <v>16.774443499976702</v>
      </c>
      <c r="AA14">
        <v>17.2916013000067</v>
      </c>
      <c r="AB14" t="s">
        <v>54</v>
      </c>
      <c r="AC14">
        <v>1</v>
      </c>
      <c r="AD14">
        <v>0.51520610001170997</v>
      </c>
      <c r="AE14" t="s">
        <v>51</v>
      </c>
      <c r="AJ14">
        <v>2</v>
      </c>
      <c r="AK14">
        <v>1</v>
      </c>
      <c r="AL14" t="s">
        <v>43</v>
      </c>
      <c r="AM14" t="s">
        <v>44</v>
      </c>
      <c r="AO14" t="s">
        <v>45</v>
      </c>
      <c r="AP14">
        <v>59.911450877882999</v>
      </c>
      <c r="AQ14" t="s">
        <v>46</v>
      </c>
    </row>
    <row r="15" spans="1:43" x14ac:dyDescent="0.45">
      <c r="A15" t="s">
        <v>52</v>
      </c>
      <c r="B15" t="s">
        <v>55</v>
      </c>
      <c r="C15" t="s">
        <v>49</v>
      </c>
      <c r="D15" t="s">
        <v>54</v>
      </c>
      <c r="E15">
        <v>26</v>
      </c>
      <c r="F15">
        <v>2</v>
      </c>
      <c r="G15">
        <v>6</v>
      </c>
      <c r="H15" t="s">
        <v>54</v>
      </c>
      <c r="I15">
        <v>1</v>
      </c>
      <c r="J15">
        <v>0.53917599999112997</v>
      </c>
      <c r="K15" t="s">
        <v>51</v>
      </c>
      <c r="L15">
        <v>6</v>
      </c>
      <c r="M15">
        <v>2</v>
      </c>
      <c r="N15">
        <v>26</v>
      </c>
      <c r="O15">
        <v>2</v>
      </c>
      <c r="P15">
        <v>34.107041399984098</v>
      </c>
      <c r="V15">
        <v>17.296339399996199</v>
      </c>
      <c r="W15">
        <v>17.307548099954101</v>
      </c>
      <c r="X15">
        <v>17.791087499994301</v>
      </c>
      <c r="Y15">
        <v>17.791087499994301</v>
      </c>
      <c r="Z15">
        <v>17.791087499994301</v>
      </c>
      <c r="AA15">
        <v>18.575143199995999</v>
      </c>
      <c r="AB15" t="s">
        <v>50</v>
      </c>
      <c r="AC15">
        <v>1</v>
      </c>
      <c r="AD15">
        <v>0.77107199997408304</v>
      </c>
      <c r="AE15" t="s">
        <v>51</v>
      </c>
      <c r="AJ15">
        <v>2</v>
      </c>
      <c r="AK15">
        <v>1</v>
      </c>
      <c r="AL15" t="s">
        <v>43</v>
      </c>
      <c r="AM15" t="s">
        <v>44</v>
      </c>
      <c r="AO15" t="s">
        <v>45</v>
      </c>
      <c r="AP15">
        <v>59.911450877882999</v>
      </c>
      <c r="AQ15" t="s">
        <v>46</v>
      </c>
    </row>
    <row r="16" spans="1:43" x14ac:dyDescent="0.45">
      <c r="A16" t="s">
        <v>47</v>
      </c>
      <c r="B16" t="s">
        <v>48</v>
      </c>
      <c r="C16" t="s">
        <v>49</v>
      </c>
      <c r="D16" t="s">
        <v>50</v>
      </c>
      <c r="E16">
        <v>27</v>
      </c>
      <c r="F16">
        <v>3</v>
      </c>
      <c r="G16">
        <v>6</v>
      </c>
      <c r="H16" t="s">
        <v>50</v>
      </c>
      <c r="I16">
        <v>1</v>
      </c>
      <c r="J16">
        <v>0.46297809999668899</v>
      </c>
      <c r="K16" t="s">
        <v>51</v>
      </c>
      <c r="L16">
        <v>6</v>
      </c>
      <c r="M16">
        <v>3</v>
      </c>
      <c r="N16">
        <v>27</v>
      </c>
      <c r="O16">
        <v>0</v>
      </c>
      <c r="P16">
        <v>35.157538499974102</v>
      </c>
      <c r="V16">
        <v>18.578583800000999</v>
      </c>
      <c r="W16">
        <v>18.591070099966601</v>
      </c>
      <c r="X16">
        <v>19.074633199954398</v>
      </c>
      <c r="Y16">
        <v>19.074633199954398</v>
      </c>
      <c r="Z16">
        <v>19.074633199954398</v>
      </c>
      <c r="AA16">
        <v>20.008335599966799</v>
      </c>
      <c r="AB16" t="s">
        <v>50</v>
      </c>
      <c r="AC16">
        <v>1</v>
      </c>
      <c r="AD16">
        <v>0.92597159999422696</v>
      </c>
      <c r="AE16" t="s">
        <v>51</v>
      </c>
      <c r="AJ16">
        <v>2</v>
      </c>
      <c r="AK16">
        <v>1</v>
      </c>
      <c r="AL16" t="s">
        <v>43</v>
      </c>
      <c r="AM16" t="s">
        <v>44</v>
      </c>
      <c r="AO16" t="s">
        <v>45</v>
      </c>
      <c r="AP16">
        <v>59.911450877882999</v>
      </c>
      <c r="AQ16" t="s">
        <v>46</v>
      </c>
    </row>
    <row r="17" spans="1:43" x14ac:dyDescent="0.45">
      <c r="A17" t="s">
        <v>47</v>
      </c>
      <c r="B17" t="s">
        <v>48</v>
      </c>
      <c r="C17" t="s">
        <v>49</v>
      </c>
      <c r="D17" t="s">
        <v>50</v>
      </c>
      <c r="E17">
        <v>29</v>
      </c>
      <c r="F17">
        <v>1</v>
      </c>
      <c r="G17">
        <v>7</v>
      </c>
      <c r="H17" t="s">
        <v>50</v>
      </c>
      <c r="I17">
        <v>1</v>
      </c>
      <c r="J17">
        <v>0.50677740003447902</v>
      </c>
      <c r="K17" t="s">
        <v>51</v>
      </c>
      <c r="L17">
        <v>7</v>
      </c>
      <c r="M17">
        <v>1</v>
      </c>
      <c r="N17">
        <v>29</v>
      </c>
      <c r="O17">
        <v>0</v>
      </c>
      <c r="P17">
        <v>37.123565899964802</v>
      </c>
      <c r="V17">
        <v>20.009116299974199</v>
      </c>
      <c r="W17">
        <v>20.024561199999798</v>
      </c>
      <c r="X17">
        <v>20.507681899994999</v>
      </c>
      <c r="Y17">
        <v>20.507681899994999</v>
      </c>
      <c r="Z17">
        <v>20.507681899994999</v>
      </c>
      <c r="AA17">
        <v>21.241654599958501</v>
      </c>
      <c r="AB17" t="s">
        <v>54</v>
      </c>
      <c r="AC17">
        <v>1</v>
      </c>
      <c r="AD17">
        <v>0.71903300000121795</v>
      </c>
      <c r="AE17" t="s">
        <v>51</v>
      </c>
      <c r="AJ17">
        <v>2</v>
      </c>
      <c r="AK17">
        <v>1</v>
      </c>
      <c r="AL17" t="s">
        <v>43</v>
      </c>
      <c r="AM17" t="s">
        <v>44</v>
      </c>
      <c r="AO17" t="s">
        <v>45</v>
      </c>
      <c r="AP17">
        <v>59.911450877882999</v>
      </c>
      <c r="AQ17" t="s">
        <v>46</v>
      </c>
    </row>
    <row r="18" spans="1:43" x14ac:dyDescent="0.45">
      <c r="A18" t="s">
        <v>52</v>
      </c>
      <c r="B18" t="s">
        <v>55</v>
      </c>
      <c r="C18" t="s">
        <v>49</v>
      </c>
      <c r="D18" t="s">
        <v>54</v>
      </c>
      <c r="E18">
        <v>30</v>
      </c>
      <c r="F18">
        <v>2</v>
      </c>
      <c r="G18">
        <v>7</v>
      </c>
      <c r="H18" t="s">
        <v>54</v>
      </c>
      <c r="I18">
        <v>1</v>
      </c>
      <c r="J18">
        <v>0.53387640003347703</v>
      </c>
      <c r="K18" t="s">
        <v>51</v>
      </c>
      <c r="L18">
        <v>7</v>
      </c>
      <c r="M18">
        <v>2</v>
      </c>
      <c r="N18">
        <v>30</v>
      </c>
      <c r="O18">
        <v>2</v>
      </c>
      <c r="P18">
        <v>38.140126099984599</v>
      </c>
      <c r="V18">
        <v>21.246071600005902</v>
      </c>
      <c r="W18">
        <v>21.2576181999756</v>
      </c>
      <c r="X18">
        <v>21.741069699986799</v>
      </c>
      <c r="Y18">
        <v>21.741069699986799</v>
      </c>
      <c r="Z18">
        <v>21.741069699986799</v>
      </c>
      <c r="AA18">
        <v>22.758292899990899</v>
      </c>
      <c r="AB18" t="s">
        <v>54</v>
      </c>
      <c r="AC18">
        <v>1</v>
      </c>
      <c r="AD18">
        <v>1.0125005000154399</v>
      </c>
      <c r="AE18" t="s">
        <v>51</v>
      </c>
      <c r="AJ18">
        <v>2</v>
      </c>
      <c r="AK18">
        <v>1</v>
      </c>
      <c r="AL18" t="s">
        <v>43</v>
      </c>
      <c r="AM18" t="s">
        <v>44</v>
      </c>
      <c r="AO18" t="s">
        <v>45</v>
      </c>
      <c r="AP18">
        <v>59.911450877882999</v>
      </c>
      <c r="AQ18" t="s">
        <v>46</v>
      </c>
    </row>
    <row r="19" spans="1:43" x14ac:dyDescent="0.45">
      <c r="A19" t="s">
        <v>52</v>
      </c>
      <c r="B19" t="s">
        <v>55</v>
      </c>
      <c r="C19" t="s">
        <v>49</v>
      </c>
      <c r="D19" t="s">
        <v>54</v>
      </c>
      <c r="E19">
        <v>33</v>
      </c>
      <c r="F19">
        <v>1</v>
      </c>
      <c r="G19">
        <v>8</v>
      </c>
      <c r="H19" t="s">
        <v>54</v>
      </c>
      <c r="I19">
        <v>1</v>
      </c>
      <c r="J19">
        <v>0.51259239995852102</v>
      </c>
      <c r="K19" t="s">
        <v>51</v>
      </c>
      <c r="L19">
        <v>8</v>
      </c>
      <c r="M19">
        <v>1</v>
      </c>
      <c r="N19">
        <v>33</v>
      </c>
      <c r="O19">
        <v>2</v>
      </c>
      <c r="P19">
        <v>41.791052699962101</v>
      </c>
      <c r="V19">
        <v>22.759142299997599</v>
      </c>
      <c r="W19">
        <v>22.774548199959099</v>
      </c>
      <c r="X19">
        <v>23.2577227999572</v>
      </c>
      <c r="Y19">
        <v>23.2577227999572</v>
      </c>
      <c r="Z19">
        <v>23.2577227999572</v>
      </c>
      <c r="AA19">
        <v>23.875157499976901</v>
      </c>
      <c r="AB19" t="s">
        <v>50</v>
      </c>
      <c r="AC19">
        <v>1</v>
      </c>
      <c r="AD19">
        <v>0.60467660002177503</v>
      </c>
      <c r="AE19" t="s">
        <v>51</v>
      </c>
      <c r="AJ19">
        <v>2</v>
      </c>
      <c r="AK19">
        <v>1</v>
      </c>
      <c r="AL19" t="s">
        <v>43</v>
      </c>
      <c r="AM19" t="s">
        <v>44</v>
      </c>
      <c r="AO19" t="s">
        <v>45</v>
      </c>
      <c r="AP19">
        <v>59.911450877882999</v>
      </c>
      <c r="AQ19" t="s">
        <v>46</v>
      </c>
    </row>
    <row r="20" spans="1:43" x14ac:dyDescent="0.45">
      <c r="A20" t="s">
        <v>47</v>
      </c>
      <c r="B20" t="s">
        <v>48</v>
      </c>
      <c r="C20" t="s">
        <v>49</v>
      </c>
      <c r="D20" t="s">
        <v>50</v>
      </c>
      <c r="E20">
        <v>35</v>
      </c>
      <c r="F20">
        <v>3</v>
      </c>
      <c r="G20">
        <v>8</v>
      </c>
      <c r="H20" t="s">
        <v>50</v>
      </c>
      <c r="I20">
        <v>1</v>
      </c>
      <c r="J20">
        <v>0.67745610000565604</v>
      </c>
      <c r="K20" t="s">
        <v>51</v>
      </c>
      <c r="L20">
        <v>8</v>
      </c>
      <c r="M20">
        <v>3</v>
      </c>
      <c r="N20">
        <v>35</v>
      </c>
      <c r="O20">
        <v>0</v>
      </c>
      <c r="P20">
        <v>44.1410138999926</v>
      </c>
      <c r="V20">
        <v>23.8790320999687</v>
      </c>
      <c r="W20">
        <v>23.891083900001799</v>
      </c>
      <c r="X20">
        <v>24.374607799982101</v>
      </c>
      <c r="Y20">
        <v>24.374607799982101</v>
      </c>
      <c r="Z20">
        <v>24.374607799982101</v>
      </c>
      <c r="AA20">
        <v>25.025135499949101</v>
      </c>
      <c r="AB20" t="s">
        <v>54</v>
      </c>
      <c r="AC20">
        <v>1</v>
      </c>
      <c r="AD20">
        <v>0.64418259996455096</v>
      </c>
      <c r="AE20" t="s">
        <v>51</v>
      </c>
      <c r="AJ20">
        <v>2</v>
      </c>
      <c r="AK20">
        <v>1</v>
      </c>
      <c r="AL20" t="s">
        <v>43</v>
      </c>
      <c r="AM20" t="s">
        <v>44</v>
      </c>
      <c r="AO20" t="s">
        <v>45</v>
      </c>
      <c r="AP20">
        <v>59.911450877882999</v>
      </c>
      <c r="AQ20" t="s">
        <v>46</v>
      </c>
    </row>
    <row r="21" spans="1:43" x14ac:dyDescent="0.45">
      <c r="A21" t="s">
        <v>47</v>
      </c>
      <c r="B21" t="s">
        <v>48</v>
      </c>
      <c r="C21" t="s">
        <v>49</v>
      </c>
      <c r="D21" t="s">
        <v>50</v>
      </c>
      <c r="E21">
        <v>36</v>
      </c>
      <c r="F21">
        <v>0</v>
      </c>
      <c r="G21">
        <v>9</v>
      </c>
      <c r="H21" t="s">
        <v>50</v>
      </c>
      <c r="I21">
        <v>1</v>
      </c>
      <c r="J21">
        <v>0.436095399956684</v>
      </c>
      <c r="K21" t="s">
        <v>51</v>
      </c>
      <c r="L21">
        <v>9</v>
      </c>
      <c r="M21">
        <v>0</v>
      </c>
      <c r="N21">
        <v>36</v>
      </c>
      <c r="O21">
        <v>0</v>
      </c>
      <c r="P21">
        <v>45.340911599982</v>
      </c>
      <c r="V21">
        <v>25.025940299965399</v>
      </c>
      <c r="W21">
        <v>25.041212599957301</v>
      </c>
      <c r="X21">
        <v>25.524640599964101</v>
      </c>
      <c r="Y21">
        <v>25.524640599964101</v>
      </c>
      <c r="Z21">
        <v>25.524640599964101</v>
      </c>
      <c r="AA21">
        <v>26.191579699981901</v>
      </c>
      <c r="AB21" t="s">
        <v>50</v>
      </c>
      <c r="AC21">
        <v>1</v>
      </c>
      <c r="AD21">
        <v>0.66546109999762804</v>
      </c>
      <c r="AE21" t="s">
        <v>51</v>
      </c>
      <c r="AJ21">
        <v>2</v>
      </c>
      <c r="AK21">
        <v>1</v>
      </c>
      <c r="AL21" t="s">
        <v>43</v>
      </c>
      <c r="AM21" t="s">
        <v>44</v>
      </c>
      <c r="AO21" t="s">
        <v>45</v>
      </c>
      <c r="AP21">
        <v>59.911450877882999</v>
      </c>
      <c r="AQ21" t="s">
        <v>46</v>
      </c>
    </row>
    <row r="22" spans="1:43" x14ac:dyDescent="0.45">
      <c r="A22" t="s">
        <v>52</v>
      </c>
      <c r="B22" t="s">
        <v>55</v>
      </c>
      <c r="C22" t="s">
        <v>49</v>
      </c>
      <c r="D22" t="s">
        <v>54</v>
      </c>
      <c r="E22">
        <v>38</v>
      </c>
      <c r="F22">
        <v>2</v>
      </c>
      <c r="G22">
        <v>9</v>
      </c>
      <c r="H22" t="s">
        <v>54</v>
      </c>
      <c r="I22">
        <v>1</v>
      </c>
      <c r="J22">
        <v>0.45279089995892702</v>
      </c>
      <c r="K22" t="s">
        <v>51</v>
      </c>
      <c r="L22">
        <v>9</v>
      </c>
      <c r="M22">
        <v>2</v>
      </c>
      <c r="N22">
        <v>38</v>
      </c>
      <c r="O22">
        <v>2</v>
      </c>
      <c r="P22">
        <v>47.274501399951902</v>
      </c>
      <c r="V22">
        <v>26.196246399951601</v>
      </c>
      <c r="W22">
        <v>26.207483200007101</v>
      </c>
      <c r="X22">
        <v>26.6909102000063</v>
      </c>
      <c r="Y22">
        <v>26.6909102000063</v>
      </c>
      <c r="Z22">
        <v>26.6909102000063</v>
      </c>
      <c r="AA22">
        <v>27.275099199963702</v>
      </c>
      <c r="AB22" t="s">
        <v>54</v>
      </c>
      <c r="AC22">
        <v>1</v>
      </c>
      <c r="AD22">
        <v>0.57342659996356804</v>
      </c>
      <c r="AE22" t="s">
        <v>51</v>
      </c>
      <c r="AJ22">
        <v>2</v>
      </c>
      <c r="AK22">
        <v>1</v>
      </c>
      <c r="AL22" t="s">
        <v>43</v>
      </c>
      <c r="AM22" t="s">
        <v>44</v>
      </c>
      <c r="AO22" t="s">
        <v>45</v>
      </c>
      <c r="AP22">
        <v>59.911450877882999</v>
      </c>
      <c r="AQ22" t="s">
        <v>46</v>
      </c>
    </row>
    <row r="23" spans="1:43" x14ac:dyDescent="0.45">
      <c r="A23" t="s">
        <v>52</v>
      </c>
      <c r="B23" t="s">
        <v>48</v>
      </c>
      <c r="C23" t="s">
        <v>53</v>
      </c>
      <c r="D23" t="s">
        <v>50</v>
      </c>
      <c r="E23">
        <v>1</v>
      </c>
      <c r="F23">
        <v>1</v>
      </c>
      <c r="G23">
        <v>0</v>
      </c>
      <c r="H23" t="s">
        <v>54</v>
      </c>
      <c r="I23">
        <v>0</v>
      </c>
      <c r="J23">
        <v>0.627375299984123</v>
      </c>
      <c r="K23" t="s">
        <v>51</v>
      </c>
      <c r="L23">
        <v>0</v>
      </c>
      <c r="M23">
        <v>1</v>
      </c>
      <c r="N23">
        <v>1</v>
      </c>
      <c r="O23">
        <v>3</v>
      </c>
      <c r="P23">
        <v>2.8801588999922298</v>
      </c>
      <c r="V23">
        <v>27.279263200005499</v>
      </c>
      <c r="W23">
        <v>27.290952899958899</v>
      </c>
      <c r="X23">
        <v>27.774616099952201</v>
      </c>
      <c r="Y23">
        <v>27.774616099952201</v>
      </c>
      <c r="Z23">
        <v>27.774616099952201</v>
      </c>
      <c r="AA23">
        <v>28.507612099987401</v>
      </c>
      <c r="AB23" t="s">
        <v>50</v>
      </c>
      <c r="AC23">
        <v>1</v>
      </c>
      <c r="AD23">
        <v>0.71629080001730405</v>
      </c>
      <c r="AE23" t="s">
        <v>51</v>
      </c>
      <c r="AJ23">
        <v>2</v>
      </c>
      <c r="AK23">
        <v>1</v>
      </c>
      <c r="AL23" t="s">
        <v>43</v>
      </c>
      <c r="AM23" t="s">
        <v>44</v>
      </c>
      <c r="AO23" t="s">
        <v>45</v>
      </c>
      <c r="AP23">
        <v>59.911450877882999</v>
      </c>
      <c r="AQ23" t="s">
        <v>46</v>
      </c>
    </row>
    <row r="24" spans="1:43" x14ac:dyDescent="0.45">
      <c r="A24" t="s">
        <v>47</v>
      </c>
      <c r="B24" t="s">
        <v>55</v>
      </c>
      <c r="C24" t="s">
        <v>53</v>
      </c>
      <c r="D24" t="s">
        <v>54</v>
      </c>
      <c r="E24">
        <v>2</v>
      </c>
      <c r="F24">
        <v>2</v>
      </c>
      <c r="G24">
        <v>0</v>
      </c>
      <c r="H24" t="s">
        <v>54</v>
      </c>
      <c r="I24">
        <v>1</v>
      </c>
      <c r="J24">
        <v>1.02682010002899</v>
      </c>
      <c r="K24" t="s">
        <v>51</v>
      </c>
      <c r="L24">
        <v>0</v>
      </c>
      <c r="M24">
        <v>2</v>
      </c>
      <c r="N24">
        <v>2</v>
      </c>
      <c r="O24">
        <v>1</v>
      </c>
      <c r="P24">
        <v>4.0238461999688298</v>
      </c>
      <c r="V24">
        <v>28.511657399998501</v>
      </c>
      <c r="W24">
        <v>28.523632799973701</v>
      </c>
      <c r="X24">
        <v>29.006879799999201</v>
      </c>
      <c r="Y24">
        <v>29.006879799999201</v>
      </c>
      <c r="Z24">
        <v>29.006879799999201</v>
      </c>
      <c r="AA24">
        <v>29.640742599964099</v>
      </c>
      <c r="AB24" t="s">
        <v>54</v>
      </c>
      <c r="AC24">
        <v>1</v>
      </c>
      <c r="AD24">
        <v>0.62214769999263797</v>
      </c>
      <c r="AE24" t="s">
        <v>51</v>
      </c>
      <c r="AJ24">
        <v>2</v>
      </c>
      <c r="AK24">
        <v>1</v>
      </c>
      <c r="AL24" t="s">
        <v>43</v>
      </c>
      <c r="AM24" t="s">
        <v>44</v>
      </c>
      <c r="AO24" t="s">
        <v>45</v>
      </c>
      <c r="AP24">
        <v>59.911450877882999</v>
      </c>
      <c r="AQ24" t="s">
        <v>46</v>
      </c>
    </row>
    <row r="25" spans="1:43" x14ac:dyDescent="0.45">
      <c r="A25" t="s">
        <v>52</v>
      </c>
      <c r="B25" t="s">
        <v>48</v>
      </c>
      <c r="C25" t="s">
        <v>53</v>
      </c>
      <c r="D25" t="s">
        <v>50</v>
      </c>
      <c r="E25">
        <v>4</v>
      </c>
      <c r="F25">
        <v>0</v>
      </c>
      <c r="G25">
        <v>1</v>
      </c>
      <c r="H25" t="s">
        <v>50</v>
      </c>
      <c r="I25">
        <v>1</v>
      </c>
      <c r="J25">
        <v>0.895180999999865</v>
      </c>
      <c r="K25" t="s">
        <v>51</v>
      </c>
      <c r="L25">
        <v>1</v>
      </c>
      <c r="M25">
        <v>0</v>
      </c>
      <c r="N25">
        <v>4</v>
      </c>
      <c r="O25">
        <v>3</v>
      </c>
      <c r="P25">
        <v>6.82457860000431</v>
      </c>
      <c r="V25">
        <v>29.645626299956302</v>
      </c>
      <c r="W25">
        <v>29.656774299975901</v>
      </c>
      <c r="X25">
        <v>30.141056499967799</v>
      </c>
      <c r="Y25">
        <v>30.141056499967799</v>
      </c>
      <c r="Z25">
        <v>30.141056499967799</v>
      </c>
      <c r="AA25">
        <v>30.641586899990202</v>
      </c>
      <c r="AB25" t="s">
        <v>54</v>
      </c>
      <c r="AC25">
        <v>1</v>
      </c>
      <c r="AD25">
        <v>0.49231200001668102</v>
      </c>
      <c r="AE25" t="s">
        <v>51</v>
      </c>
      <c r="AJ25">
        <v>2</v>
      </c>
      <c r="AK25">
        <v>1</v>
      </c>
      <c r="AL25" t="s">
        <v>43</v>
      </c>
      <c r="AM25" t="s">
        <v>44</v>
      </c>
      <c r="AO25" t="s">
        <v>45</v>
      </c>
      <c r="AP25">
        <v>59.911450877882999</v>
      </c>
      <c r="AQ25" t="s">
        <v>46</v>
      </c>
    </row>
    <row r="26" spans="1:43" x14ac:dyDescent="0.45">
      <c r="A26" t="s">
        <v>47</v>
      </c>
      <c r="B26" t="s">
        <v>55</v>
      </c>
      <c r="C26" t="s">
        <v>53</v>
      </c>
      <c r="D26" t="s">
        <v>54</v>
      </c>
      <c r="E26">
        <v>7</v>
      </c>
      <c r="F26">
        <v>3</v>
      </c>
      <c r="G26">
        <v>1</v>
      </c>
      <c r="H26" t="s">
        <v>54</v>
      </c>
      <c r="I26">
        <v>1</v>
      </c>
      <c r="J26">
        <v>0.78928779996931497</v>
      </c>
      <c r="K26" t="s">
        <v>51</v>
      </c>
      <c r="L26">
        <v>1</v>
      </c>
      <c r="M26">
        <v>3</v>
      </c>
      <c r="N26">
        <v>7</v>
      </c>
      <c r="O26">
        <v>1</v>
      </c>
      <c r="P26">
        <v>10.707883699971701</v>
      </c>
      <c r="V26">
        <v>30.6460433999891</v>
      </c>
      <c r="W26">
        <v>30.657656800001799</v>
      </c>
      <c r="X26">
        <v>31.140977899951299</v>
      </c>
      <c r="Y26">
        <v>31.140977899951299</v>
      </c>
      <c r="Z26">
        <v>31.140977899951299</v>
      </c>
      <c r="AA26">
        <v>31.625006499991201</v>
      </c>
      <c r="AB26" t="s">
        <v>50</v>
      </c>
      <c r="AC26">
        <v>1</v>
      </c>
      <c r="AD26">
        <v>0.48302419995889001</v>
      </c>
      <c r="AE26" t="s">
        <v>51</v>
      </c>
      <c r="AJ26">
        <v>2</v>
      </c>
      <c r="AK26">
        <v>1</v>
      </c>
      <c r="AL26" t="s">
        <v>43</v>
      </c>
      <c r="AM26" t="s">
        <v>44</v>
      </c>
      <c r="AO26" t="s">
        <v>45</v>
      </c>
      <c r="AP26">
        <v>59.911450877882999</v>
      </c>
      <c r="AQ26" t="s">
        <v>46</v>
      </c>
    </row>
    <row r="27" spans="1:43" x14ac:dyDescent="0.45">
      <c r="A27" t="s">
        <v>47</v>
      </c>
      <c r="B27" t="s">
        <v>55</v>
      </c>
      <c r="C27" t="s">
        <v>53</v>
      </c>
      <c r="D27" t="s">
        <v>54</v>
      </c>
      <c r="E27">
        <v>8</v>
      </c>
      <c r="F27">
        <v>0</v>
      </c>
      <c r="G27">
        <v>2</v>
      </c>
      <c r="H27" t="s">
        <v>54</v>
      </c>
      <c r="I27">
        <v>1</v>
      </c>
      <c r="J27">
        <v>0.855445299996063</v>
      </c>
      <c r="K27" t="s">
        <v>51</v>
      </c>
      <c r="L27">
        <v>2</v>
      </c>
      <c r="M27">
        <v>0</v>
      </c>
      <c r="N27">
        <v>8</v>
      </c>
      <c r="O27">
        <v>1</v>
      </c>
      <c r="P27">
        <v>12.007899199961599</v>
      </c>
      <c r="V27">
        <v>31.6258547999896</v>
      </c>
      <c r="W27">
        <v>31.6410320999566</v>
      </c>
      <c r="X27">
        <v>32.139887999975997</v>
      </c>
      <c r="Y27">
        <v>32.139887999975997</v>
      </c>
      <c r="Z27">
        <v>32.139887999975997</v>
      </c>
      <c r="AA27">
        <v>32.873913499992298</v>
      </c>
      <c r="AB27" t="s">
        <v>54</v>
      </c>
      <c r="AC27">
        <v>1</v>
      </c>
      <c r="AD27">
        <v>0.71693709999090005</v>
      </c>
      <c r="AE27" t="s">
        <v>51</v>
      </c>
      <c r="AJ27">
        <v>2</v>
      </c>
      <c r="AK27">
        <v>1</v>
      </c>
      <c r="AL27" t="s">
        <v>43</v>
      </c>
      <c r="AM27" t="s">
        <v>44</v>
      </c>
      <c r="AO27" t="s">
        <v>45</v>
      </c>
      <c r="AP27">
        <v>59.911450877882999</v>
      </c>
      <c r="AQ27" t="s">
        <v>46</v>
      </c>
    </row>
    <row r="28" spans="1:43" x14ac:dyDescent="0.45">
      <c r="A28" t="s">
        <v>52</v>
      </c>
      <c r="B28" t="s">
        <v>48</v>
      </c>
      <c r="C28" t="s">
        <v>53</v>
      </c>
      <c r="D28" t="s">
        <v>50</v>
      </c>
      <c r="E28">
        <v>9</v>
      </c>
      <c r="F28">
        <v>1</v>
      </c>
      <c r="G28">
        <v>2</v>
      </c>
      <c r="H28" t="s">
        <v>50</v>
      </c>
      <c r="I28">
        <v>1</v>
      </c>
      <c r="J28">
        <v>1.0043978999601599</v>
      </c>
      <c r="K28" t="s">
        <v>51</v>
      </c>
      <c r="L28">
        <v>2</v>
      </c>
      <c r="M28">
        <v>1</v>
      </c>
      <c r="N28">
        <v>9</v>
      </c>
      <c r="O28">
        <v>3</v>
      </c>
      <c r="P28">
        <v>13.374368499964399</v>
      </c>
      <c r="V28">
        <v>32.875719200004802</v>
      </c>
      <c r="W28">
        <v>32.890234399994299</v>
      </c>
      <c r="X28">
        <v>33.373594899952799</v>
      </c>
      <c r="Y28">
        <v>33.373594899952799</v>
      </c>
      <c r="Z28">
        <v>33.373594899952799</v>
      </c>
      <c r="AA28">
        <v>34.090416499995598</v>
      </c>
      <c r="AB28" t="s">
        <v>50</v>
      </c>
      <c r="AC28">
        <v>1</v>
      </c>
      <c r="AD28">
        <v>0.70511600002646402</v>
      </c>
      <c r="AE28" t="s">
        <v>51</v>
      </c>
      <c r="AJ28">
        <v>2</v>
      </c>
      <c r="AK28">
        <v>1</v>
      </c>
      <c r="AL28" t="s">
        <v>43</v>
      </c>
      <c r="AM28" t="s">
        <v>44</v>
      </c>
      <c r="AO28" t="s">
        <v>45</v>
      </c>
      <c r="AP28">
        <v>59.911450877882999</v>
      </c>
      <c r="AQ28" t="s">
        <v>46</v>
      </c>
    </row>
    <row r="29" spans="1:43" x14ac:dyDescent="0.45">
      <c r="A29" t="s">
        <v>52</v>
      </c>
      <c r="B29" t="s">
        <v>48</v>
      </c>
      <c r="C29" t="s">
        <v>53</v>
      </c>
      <c r="D29" t="s">
        <v>50</v>
      </c>
      <c r="E29">
        <v>13</v>
      </c>
      <c r="F29">
        <v>1</v>
      </c>
      <c r="G29">
        <v>3</v>
      </c>
      <c r="H29" t="s">
        <v>50</v>
      </c>
      <c r="I29">
        <v>1</v>
      </c>
      <c r="J29">
        <v>0.92597159999422696</v>
      </c>
      <c r="K29" t="s">
        <v>51</v>
      </c>
      <c r="L29">
        <v>3</v>
      </c>
      <c r="M29">
        <v>1</v>
      </c>
      <c r="N29">
        <v>13</v>
      </c>
      <c r="O29">
        <v>3</v>
      </c>
      <c r="P29">
        <v>18.591070099966601</v>
      </c>
      <c r="V29">
        <v>34.0907648999709</v>
      </c>
      <c r="W29">
        <v>34.107041399984098</v>
      </c>
      <c r="X29">
        <v>34.590843199985102</v>
      </c>
      <c r="Y29">
        <v>34.590843199985102</v>
      </c>
      <c r="Z29">
        <v>34.590843199985102</v>
      </c>
      <c r="AA29">
        <v>35.141514399961999</v>
      </c>
      <c r="AB29" t="s">
        <v>54</v>
      </c>
      <c r="AC29">
        <v>1</v>
      </c>
      <c r="AD29">
        <v>0.53917599999112997</v>
      </c>
      <c r="AE29" t="s">
        <v>51</v>
      </c>
      <c r="AJ29">
        <v>2</v>
      </c>
      <c r="AK29">
        <v>1</v>
      </c>
      <c r="AL29" t="s">
        <v>43</v>
      </c>
      <c r="AM29" t="s">
        <v>44</v>
      </c>
      <c r="AO29" t="s">
        <v>45</v>
      </c>
      <c r="AP29">
        <v>59.911450877882999</v>
      </c>
      <c r="AQ29" t="s">
        <v>46</v>
      </c>
    </row>
    <row r="30" spans="1:43" x14ac:dyDescent="0.45">
      <c r="A30" t="s">
        <v>47</v>
      </c>
      <c r="B30" t="s">
        <v>55</v>
      </c>
      <c r="C30" t="s">
        <v>53</v>
      </c>
      <c r="D30" t="s">
        <v>54</v>
      </c>
      <c r="E30">
        <v>15</v>
      </c>
      <c r="F30">
        <v>3</v>
      </c>
      <c r="G30">
        <v>3</v>
      </c>
      <c r="H30" t="s">
        <v>54</v>
      </c>
      <c r="I30">
        <v>1</v>
      </c>
      <c r="J30">
        <v>1.0125005000154399</v>
      </c>
      <c r="K30" t="s">
        <v>51</v>
      </c>
      <c r="L30">
        <v>3</v>
      </c>
      <c r="M30">
        <v>3</v>
      </c>
      <c r="N30">
        <v>15</v>
      </c>
      <c r="O30">
        <v>1</v>
      </c>
      <c r="P30">
        <v>21.2576181999756</v>
      </c>
      <c r="V30">
        <v>35.145727799972498</v>
      </c>
      <c r="W30">
        <v>35.157538499974102</v>
      </c>
      <c r="X30">
        <v>35.640994199959003</v>
      </c>
      <c r="Y30">
        <v>35.640994199959003</v>
      </c>
      <c r="Z30">
        <v>35.640994199959003</v>
      </c>
      <c r="AA30">
        <v>36.108186599973102</v>
      </c>
      <c r="AB30" t="s">
        <v>50</v>
      </c>
      <c r="AC30">
        <v>1</v>
      </c>
      <c r="AD30">
        <v>0.46297809999668899</v>
      </c>
      <c r="AE30" t="s">
        <v>51</v>
      </c>
      <c r="AJ30">
        <v>2</v>
      </c>
      <c r="AK30">
        <v>1</v>
      </c>
      <c r="AL30" t="s">
        <v>43</v>
      </c>
      <c r="AM30" t="s">
        <v>44</v>
      </c>
      <c r="AO30" t="s">
        <v>45</v>
      </c>
      <c r="AP30">
        <v>59.911450877882999</v>
      </c>
      <c r="AQ30" t="s">
        <v>46</v>
      </c>
    </row>
    <row r="31" spans="1:43" x14ac:dyDescent="0.45">
      <c r="A31" t="s">
        <v>52</v>
      </c>
      <c r="B31" t="s">
        <v>48</v>
      </c>
      <c r="C31" t="s">
        <v>53</v>
      </c>
      <c r="D31" t="s">
        <v>50</v>
      </c>
      <c r="E31">
        <v>18</v>
      </c>
      <c r="F31">
        <v>2</v>
      </c>
      <c r="G31">
        <v>4</v>
      </c>
      <c r="H31" t="s">
        <v>50</v>
      </c>
      <c r="I31">
        <v>1</v>
      </c>
      <c r="J31">
        <v>0.66546109999762804</v>
      </c>
      <c r="K31" t="s">
        <v>51</v>
      </c>
      <c r="L31">
        <v>4</v>
      </c>
      <c r="M31">
        <v>2</v>
      </c>
      <c r="N31">
        <v>18</v>
      </c>
      <c r="O31">
        <v>3</v>
      </c>
      <c r="P31">
        <v>25.041212599957301</v>
      </c>
      <c r="V31">
        <v>36.1126273999689</v>
      </c>
      <c r="W31">
        <v>36.1244904999621</v>
      </c>
      <c r="X31">
        <v>36.623711499967598</v>
      </c>
      <c r="Y31">
        <v>36.623711499967598</v>
      </c>
      <c r="Z31">
        <v>36.623711499967598</v>
      </c>
      <c r="AA31">
        <v>37.107483399973702</v>
      </c>
      <c r="AB31" t="s">
        <v>50</v>
      </c>
      <c r="AC31">
        <v>1</v>
      </c>
      <c r="AD31">
        <v>0.48263930005486999</v>
      </c>
      <c r="AE31" t="s">
        <v>51</v>
      </c>
      <c r="AJ31">
        <v>2</v>
      </c>
      <c r="AK31">
        <v>1</v>
      </c>
      <c r="AL31" t="s">
        <v>43</v>
      </c>
      <c r="AM31" t="s">
        <v>44</v>
      </c>
      <c r="AO31" t="s">
        <v>45</v>
      </c>
      <c r="AP31">
        <v>59.911450877882999</v>
      </c>
      <c r="AQ31" t="s">
        <v>46</v>
      </c>
    </row>
    <row r="32" spans="1:43" x14ac:dyDescent="0.45">
      <c r="A32" t="s">
        <v>47</v>
      </c>
      <c r="B32" t="s">
        <v>55</v>
      </c>
      <c r="C32" t="s">
        <v>53</v>
      </c>
      <c r="D32" t="s">
        <v>54</v>
      </c>
      <c r="E32">
        <v>19</v>
      </c>
      <c r="F32">
        <v>3</v>
      </c>
      <c r="G32">
        <v>4</v>
      </c>
      <c r="H32" t="s">
        <v>54</v>
      </c>
      <c r="I32">
        <v>1</v>
      </c>
      <c r="J32">
        <v>0.57342659996356804</v>
      </c>
      <c r="K32" t="s">
        <v>51</v>
      </c>
      <c r="L32">
        <v>4</v>
      </c>
      <c r="M32">
        <v>3</v>
      </c>
      <c r="N32">
        <v>19</v>
      </c>
      <c r="O32">
        <v>1</v>
      </c>
      <c r="P32">
        <v>26.207483200007101</v>
      </c>
      <c r="V32">
        <v>37.110700099961797</v>
      </c>
      <c r="W32">
        <v>37.123565899964802</v>
      </c>
      <c r="X32">
        <v>37.607022299955098</v>
      </c>
      <c r="Y32">
        <v>37.607022299955098</v>
      </c>
      <c r="Z32">
        <v>37.607022299955098</v>
      </c>
      <c r="AA32">
        <v>38.124143900000398</v>
      </c>
      <c r="AB32" t="s">
        <v>50</v>
      </c>
      <c r="AC32">
        <v>1</v>
      </c>
      <c r="AD32">
        <v>0.50677740003447902</v>
      </c>
      <c r="AE32" t="s">
        <v>51</v>
      </c>
      <c r="AJ32">
        <v>2</v>
      </c>
      <c r="AK32">
        <v>1</v>
      </c>
      <c r="AL32" t="s">
        <v>43</v>
      </c>
      <c r="AM32" t="s">
        <v>44</v>
      </c>
      <c r="AO32" t="s">
        <v>45</v>
      </c>
      <c r="AP32">
        <v>59.911450877882999</v>
      </c>
      <c r="AQ32" t="s">
        <v>46</v>
      </c>
    </row>
    <row r="33" spans="1:43" x14ac:dyDescent="0.45">
      <c r="A33" t="s">
        <v>52</v>
      </c>
      <c r="B33" t="s">
        <v>48</v>
      </c>
      <c r="C33" t="s">
        <v>53</v>
      </c>
      <c r="D33" t="s">
        <v>50</v>
      </c>
      <c r="E33">
        <v>20</v>
      </c>
      <c r="F33">
        <v>0</v>
      </c>
      <c r="G33">
        <v>5</v>
      </c>
      <c r="H33" t="s">
        <v>50</v>
      </c>
      <c r="I33">
        <v>1</v>
      </c>
      <c r="J33">
        <v>0.71629080001730405</v>
      </c>
      <c r="K33" t="s">
        <v>51</v>
      </c>
      <c r="L33">
        <v>5</v>
      </c>
      <c r="M33">
        <v>0</v>
      </c>
      <c r="N33">
        <v>20</v>
      </c>
      <c r="O33">
        <v>3</v>
      </c>
      <c r="P33">
        <v>27.290952899958899</v>
      </c>
      <c r="V33">
        <v>38.128194799995903</v>
      </c>
      <c r="W33">
        <v>38.140126099984599</v>
      </c>
      <c r="X33">
        <v>38.6244311999762</v>
      </c>
      <c r="Y33">
        <v>38.6244311999762</v>
      </c>
      <c r="Z33">
        <v>38.6244311999762</v>
      </c>
      <c r="AA33">
        <v>39.174950199958403</v>
      </c>
      <c r="AB33" t="s">
        <v>54</v>
      </c>
      <c r="AC33">
        <v>1</v>
      </c>
      <c r="AD33">
        <v>0.53387640003347703</v>
      </c>
      <c r="AE33" t="s">
        <v>51</v>
      </c>
      <c r="AJ33">
        <v>2</v>
      </c>
      <c r="AK33">
        <v>1</v>
      </c>
      <c r="AL33" t="s">
        <v>43</v>
      </c>
      <c r="AM33" t="s">
        <v>44</v>
      </c>
      <c r="AO33" t="s">
        <v>45</v>
      </c>
      <c r="AP33">
        <v>59.911450877882999</v>
      </c>
      <c r="AQ33" t="s">
        <v>46</v>
      </c>
    </row>
    <row r="34" spans="1:43" x14ac:dyDescent="0.45">
      <c r="A34" t="s">
        <v>47</v>
      </c>
      <c r="B34" t="s">
        <v>55</v>
      </c>
      <c r="C34" t="s">
        <v>53</v>
      </c>
      <c r="D34" t="s">
        <v>54</v>
      </c>
      <c r="E34">
        <v>21</v>
      </c>
      <c r="F34">
        <v>1</v>
      </c>
      <c r="G34">
        <v>5</v>
      </c>
      <c r="H34" t="s">
        <v>54</v>
      </c>
      <c r="I34">
        <v>1</v>
      </c>
      <c r="J34">
        <v>0.62214769999263797</v>
      </c>
      <c r="K34" t="s">
        <v>51</v>
      </c>
      <c r="L34">
        <v>5</v>
      </c>
      <c r="M34">
        <v>1</v>
      </c>
      <c r="N34">
        <v>21</v>
      </c>
      <c r="O34">
        <v>1</v>
      </c>
      <c r="P34">
        <v>28.523632799973701</v>
      </c>
      <c r="V34">
        <v>39.1792887999909</v>
      </c>
      <c r="W34">
        <v>39.191004299966103</v>
      </c>
      <c r="X34">
        <v>39.674441599985499</v>
      </c>
      <c r="Y34">
        <v>39.674441599985499</v>
      </c>
      <c r="Z34">
        <v>39.674441599985499</v>
      </c>
      <c r="AA34">
        <v>40.425016599998301</v>
      </c>
      <c r="AB34" t="s">
        <v>54</v>
      </c>
      <c r="AC34">
        <v>1</v>
      </c>
      <c r="AD34">
        <v>0.73692599998321295</v>
      </c>
      <c r="AE34" t="s">
        <v>51</v>
      </c>
      <c r="AJ34">
        <v>2</v>
      </c>
      <c r="AK34">
        <v>1</v>
      </c>
      <c r="AL34" t="s">
        <v>43</v>
      </c>
      <c r="AM34" t="s">
        <v>44</v>
      </c>
      <c r="AO34" t="s">
        <v>45</v>
      </c>
      <c r="AP34">
        <v>59.911450877882999</v>
      </c>
      <c r="AQ34" t="s">
        <v>46</v>
      </c>
    </row>
    <row r="35" spans="1:43" x14ac:dyDescent="0.45">
      <c r="A35" t="s">
        <v>47</v>
      </c>
      <c r="B35" t="s">
        <v>55</v>
      </c>
      <c r="C35" t="s">
        <v>53</v>
      </c>
      <c r="D35" t="s">
        <v>54</v>
      </c>
      <c r="E35">
        <v>24</v>
      </c>
      <c r="F35">
        <v>0</v>
      </c>
      <c r="G35">
        <v>6</v>
      </c>
      <c r="H35" t="s">
        <v>54</v>
      </c>
      <c r="I35">
        <v>1</v>
      </c>
      <c r="J35">
        <v>0.71693709999090005</v>
      </c>
      <c r="K35" t="s">
        <v>51</v>
      </c>
      <c r="L35">
        <v>6</v>
      </c>
      <c r="M35">
        <v>0</v>
      </c>
      <c r="N35">
        <v>24</v>
      </c>
      <c r="O35">
        <v>1</v>
      </c>
      <c r="P35">
        <v>31.6410320999566</v>
      </c>
      <c r="V35">
        <v>40.4295355000067</v>
      </c>
      <c r="W35">
        <v>40.441114399989601</v>
      </c>
      <c r="X35">
        <v>40.9243774999631</v>
      </c>
      <c r="Y35">
        <v>40.9243774999631</v>
      </c>
      <c r="Z35">
        <v>40.9243774999631</v>
      </c>
      <c r="AA35">
        <v>41.7749592000036</v>
      </c>
      <c r="AB35" t="s">
        <v>50</v>
      </c>
      <c r="AC35">
        <v>1</v>
      </c>
      <c r="AD35">
        <v>0.84359410003526103</v>
      </c>
      <c r="AE35" t="s">
        <v>51</v>
      </c>
      <c r="AJ35">
        <v>2</v>
      </c>
      <c r="AK35">
        <v>1</v>
      </c>
      <c r="AL35" t="s">
        <v>43</v>
      </c>
      <c r="AM35" t="s">
        <v>44</v>
      </c>
      <c r="AO35" t="s">
        <v>45</v>
      </c>
      <c r="AP35">
        <v>59.911450877882999</v>
      </c>
      <c r="AQ35" t="s">
        <v>46</v>
      </c>
    </row>
    <row r="36" spans="1:43" x14ac:dyDescent="0.45">
      <c r="A36" t="s">
        <v>52</v>
      </c>
      <c r="B36" t="s">
        <v>48</v>
      </c>
      <c r="C36" t="s">
        <v>53</v>
      </c>
      <c r="D36" t="s">
        <v>50</v>
      </c>
      <c r="E36">
        <v>25</v>
      </c>
      <c r="F36">
        <v>1</v>
      </c>
      <c r="G36">
        <v>6</v>
      </c>
      <c r="H36" t="s">
        <v>50</v>
      </c>
      <c r="I36">
        <v>1</v>
      </c>
      <c r="J36">
        <v>0.70511600002646402</v>
      </c>
      <c r="K36" t="s">
        <v>51</v>
      </c>
      <c r="L36">
        <v>6</v>
      </c>
      <c r="M36">
        <v>1</v>
      </c>
      <c r="N36">
        <v>25</v>
      </c>
      <c r="O36">
        <v>3</v>
      </c>
      <c r="P36">
        <v>32.890234399994299</v>
      </c>
      <c r="V36">
        <v>41.7758085999521</v>
      </c>
      <c r="W36">
        <v>41.791052699962101</v>
      </c>
      <c r="X36">
        <v>42.2745311000035</v>
      </c>
      <c r="Y36">
        <v>42.2745311000035</v>
      </c>
      <c r="Z36">
        <v>42.2745311000035</v>
      </c>
      <c r="AA36">
        <v>42.7915978999808</v>
      </c>
      <c r="AB36" t="s">
        <v>54</v>
      </c>
      <c r="AC36">
        <v>1</v>
      </c>
      <c r="AD36">
        <v>0.51259239995852102</v>
      </c>
      <c r="AE36" t="s">
        <v>51</v>
      </c>
      <c r="AJ36">
        <v>2</v>
      </c>
      <c r="AK36">
        <v>1</v>
      </c>
      <c r="AL36" t="s">
        <v>43</v>
      </c>
      <c r="AM36" t="s">
        <v>44</v>
      </c>
      <c r="AO36" t="s">
        <v>45</v>
      </c>
      <c r="AP36">
        <v>59.911450877882999</v>
      </c>
      <c r="AQ36" t="s">
        <v>46</v>
      </c>
    </row>
    <row r="37" spans="1:43" x14ac:dyDescent="0.45">
      <c r="A37" t="s">
        <v>52</v>
      </c>
      <c r="B37" t="s">
        <v>48</v>
      </c>
      <c r="C37" t="s">
        <v>53</v>
      </c>
      <c r="D37" t="s">
        <v>50</v>
      </c>
      <c r="E37">
        <v>28</v>
      </c>
      <c r="F37">
        <v>0</v>
      </c>
      <c r="G37">
        <v>7</v>
      </c>
      <c r="H37" t="s">
        <v>50</v>
      </c>
      <c r="I37">
        <v>1</v>
      </c>
      <c r="J37">
        <v>0.48263930005486999</v>
      </c>
      <c r="K37" t="s">
        <v>51</v>
      </c>
      <c r="L37">
        <v>7</v>
      </c>
      <c r="M37">
        <v>0</v>
      </c>
      <c r="N37">
        <v>28</v>
      </c>
      <c r="O37">
        <v>3</v>
      </c>
      <c r="P37">
        <v>36.1244904999621</v>
      </c>
      <c r="V37">
        <v>42.796047099982303</v>
      </c>
      <c r="W37">
        <v>42.807473799970403</v>
      </c>
      <c r="X37">
        <v>43.291006699961102</v>
      </c>
      <c r="Y37">
        <v>43.291006699961102</v>
      </c>
      <c r="Z37">
        <v>43.291006699961102</v>
      </c>
      <c r="AA37">
        <v>44.124979299958703</v>
      </c>
      <c r="AB37" t="s">
        <v>54</v>
      </c>
      <c r="AC37">
        <v>1</v>
      </c>
      <c r="AD37">
        <v>0.82780049997381799</v>
      </c>
      <c r="AE37" t="s">
        <v>51</v>
      </c>
      <c r="AJ37">
        <v>2</v>
      </c>
      <c r="AK37">
        <v>1</v>
      </c>
      <c r="AL37" t="s">
        <v>43</v>
      </c>
      <c r="AM37" t="s">
        <v>44</v>
      </c>
      <c r="AO37" t="s">
        <v>45</v>
      </c>
      <c r="AP37">
        <v>59.911450877882999</v>
      </c>
      <c r="AQ37" t="s">
        <v>46</v>
      </c>
    </row>
    <row r="38" spans="1:43" x14ac:dyDescent="0.45">
      <c r="A38" t="s">
        <v>47</v>
      </c>
      <c r="B38" t="s">
        <v>55</v>
      </c>
      <c r="C38" t="s">
        <v>53</v>
      </c>
      <c r="D38" t="s">
        <v>54</v>
      </c>
      <c r="E38">
        <v>31</v>
      </c>
      <c r="F38">
        <v>3</v>
      </c>
      <c r="G38">
        <v>7</v>
      </c>
      <c r="H38" t="s">
        <v>54</v>
      </c>
      <c r="I38">
        <v>1</v>
      </c>
      <c r="J38">
        <v>0.73692599998321295</v>
      </c>
      <c r="K38" t="s">
        <v>51</v>
      </c>
      <c r="L38">
        <v>7</v>
      </c>
      <c r="M38">
        <v>3</v>
      </c>
      <c r="N38">
        <v>31</v>
      </c>
      <c r="O38">
        <v>1</v>
      </c>
      <c r="P38">
        <v>39.191004299966103</v>
      </c>
      <c r="V38">
        <v>44.125815299979799</v>
      </c>
      <c r="W38">
        <v>44.1410138999926</v>
      </c>
      <c r="X38">
        <v>44.640269199968301</v>
      </c>
      <c r="Y38">
        <v>44.640269199968301</v>
      </c>
      <c r="Z38">
        <v>44.640269199968301</v>
      </c>
      <c r="AA38">
        <v>45.325099599955102</v>
      </c>
      <c r="AB38" t="s">
        <v>50</v>
      </c>
      <c r="AC38">
        <v>1</v>
      </c>
      <c r="AD38">
        <v>0.67745610000565604</v>
      </c>
      <c r="AE38" t="s">
        <v>51</v>
      </c>
      <c r="AJ38">
        <v>2</v>
      </c>
      <c r="AK38">
        <v>1</v>
      </c>
      <c r="AL38" t="s">
        <v>43</v>
      </c>
      <c r="AM38" t="s">
        <v>44</v>
      </c>
      <c r="AO38" t="s">
        <v>45</v>
      </c>
      <c r="AP38">
        <v>59.911450877882999</v>
      </c>
      <c r="AQ38" t="s">
        <v>46</v>
      </c>
    </row>
    <row r="39" spans="1:43" x14ac:dyDescent="0.45">
      <c r="A39" t="s">
        <v>52</v>
      </c>
      <c r="B39" t="s">
        <v>48</v>
      </c>
      <c r="C39" t="s">
        <v>53</v>
      </c>
      <c r="D39" t="s">
        <v>50</v>
      </c>
      <c r="E39">
        <v>32</v>
      </c>
      <c r="F39">
        <v>0</v>
      </c>
      <c r="G39">
        <v>8</v>
      </c>
      <c r="H39" t="s">
        <v>50</v>
      </c>
      <c r="I39">
        <v>1</v>
      </c>
      <c r="J39">
        <v>0.84359410003526103</v>
      </c>
      <c r="K39" t="s">
        <v>51</v>
      </c>
      <c r="L39">
        <v>8</v>
      </c>
      <c r="M39">
        <v>0</v>
      </c>
      <c r="N39">
        <v>32</v>
      </c>
      <c r="O39">
        <v>3</v>
      </c>
      <c r="P39">
        <v>40.441114399989601</v>
      </c>
      <c r="V39">
        <v>45.325933099957098</v>
      </c>
      <c r="W39">
        <v>45.340911599982</v>
      </c>
      <c r="X39">
        <v>45.841029699949999</v>
      </c>
      <c r="Y39">
        <v>45.841029699949999</v>
      </c>
      <c r="Z39">
        <v>45.841029699949999</v>
      </c>
      <c r="AA39">
        <v>46.291555000003399</v>
      </c>
      <c r="AB39" t="s">
        <v>50</v>
      </c>
      <c r="AC39">
        <v>1</v>
      </c>
      <c r="AD39">
        <v>0.436095399956684</v>
      </c>
      <c r="AE39" t="s">
        <v>51</v>
      </c>
      <c r="AJ39">
        <v>2</v>
      </c>
      <c r="AK39">
        <v>1</v>
      </c>
      <c r="AL39" t="s">
        <v>43</v>
      </c>
      <c r="AM39" t="s">
        <v>44</v>
      </c>
      <c r="AO39" t="s">
        <v>45</v>
      </c>
      <c r="AP39">
        <v>59.911450877882999</v>
      </c>
      <c r="AQ39" t="s">
        <v>46</v>
      </c>
    </row>
    <row r="40" spans="1:43" x14ac:dyDescent="0.45">
      <c r="A40" t="s">
        <v>47</v>
      </c>
      <c r="B40" t="s">
        <v>55</v>
      </c>
      <c r="C40" t="s">
        <v>53</v>
      </c>
      <c r="D40" t="s">
        <v>54</v>
      </c>
      <c r="E40">
        <v>34</v>
      </c>
      <c r="F40">
        <v>2</v>
      </c>
      <c r="G40">
        <v>8</v>
      </c>
      <c r="H40" t="s">
        <v>54</v>
      </c>
      <c r="I40">
        <v>1</v>
      </c>
      <c r="J40">
        <v>0.82780049997381799</v>
      </c>
      <c r="K40" t="s">
        <v>51</v>
      </c>
      <c r="L40">
        <v>8</v>
      </c>
      <c r="M40">
        <v>2</v>
      </c>
      <c r="N40">
        <v>34</v>
      </c>
      <c r="O40">
        <v>1</v>
      </c>
      <c r="P40">
        <v>42.807473799970403</v>
      </c>
      <c r="V40">
        <v>46.296076499973402</v>
      </c>
      <c r="W40">
        <v>46.307350699964402</v>
      </c>
      <c r="X40">
        <v>46.790964599989799</v>
      </c>
      <c r="Y40">
        <v>46.790964599989799</v>
      </c>
      <c r="Z40">
        <v>46.790964599989799</v>
      </c>
      <c r="AA40">
        <v>47.258165999955899</v>
      </c>
      <c r="AB40" t="s">
        <v>50</v>
      </c>
      <c r="AC40">
        <v>1</v>
      </c>
      <c r="AD40">
        <v>0.45390909997513501</v>
      </c>
      <c r="AE40" t="s">
        <v>51</v>
      </c>
      <c r="AJ40">
        <v>2</v>
      </c>
      <c r="AK40">
        <v>1</v>
      </c>
      <c r="AL40" t="s">
        <v>43</v>
      </c>
      <c r="AM40" t="s">
        <v>44</v>
      </c>
      <c r="AO40" t="s">
        <v>45</v>
      </c>
      <c r="AP40">
        <v>59.911450877882999</v>
      </c>
      <c r="AQ40" t="s">
        <v>46</v>
      </c>
    </row>
    <row r="41" spans="1:43" x14ac:dyDescent="0.45">
      <c r="A41" t="s">
        <v>52</v>
      </c>
      <c r="B41" t="s">
        <v>48</v>
      </c>
      <c r="C41" t="s">
        <v>53</v>
      </c>
      <c r="D41" t="s">
        <v>50</v>
      </c>
      <c r="E41">
        <v>37</v>
      </c>
      <c r="F41">
        <v>1</v>
      </c>
      <c r="G41">
        <v>9</v>
      </c>
      <c r="H41" t="s">
        <v>50</v>
      </c>
      <c r="I41">
        <v>1</v>
      </c>
      <c r="J41">
        <v>0.45390909997513501</v>
      </c>
      <c r="K41" t="s">
        <v>51</v>
      </c>
      <c r="L41">
        <v>9</v>
      </c>
      <c r="M41">
        <v>1</v>
      </c>
      <c r="N41">
        <v>37</v>
      </c>
      <c r="O41">
        <v>3</v>
      </c>
      <c r="P41">
        <v>46.307350699964402</v>
      </c>
      <c r="V41">
        <v>47.259055399976198</v>
      </c>
      <c r="W41">
        <v>47.274501399951902</v>
      </c>
      <c r="X41">
        <v>47.757668899954297</v>
      </c>
      <c r="Y41">
        <v>47.757668899954297</v>
      </c>
      <c r="Z41">
        <v>47.757668899954297</v>
      </c>
      <c r="AA41">
        <v>48.225042599951799</v>
      </c>
      <c r="AB41" t="s">
        <v>54</v>
      </c>
      <c r="AC41">
        <v>1</v>
      </c>
      <c r="AD41">
        <v>0.45279089995892702</v>
      </c>
      <c r="AE41" t="s">
        <v>51</v>
      </c>
      <c r="AJ41">
        <v>2</v>
      </c>
      <c r="AK41">
        <v>1</v>
      </c>
      <c r="AL41" t="s">
        <v>43</v>
      </c>
      <c r="AM41" t="s">
        <v>44</v>
      </c>
      <c r="AO41" t="s">
        <v>45</v>
      </c>
      <c r="AP41">
        <v>59.911450877882999</v>
      </c>
      <c r="AQ41" t="s">
        <v>46</v>
      </c>
    </row>
    <row r="42" spans="1:43" x14ac:dyDescent="0.45">
      <c r="A42" t="s">
        <v>47</v>
      </c>
      <c r="B42" t="s">
        <v>55</v>
      </c>
      <c r="C42" t="s">
        <v>53</v>
      </c>
      <c r="D42" t="s">
        <v>54</v>
      </c>
      <c r="E42">
        <v>39</v>
      </c>
      <c r="F42">
        <v>3</v>
      </c>
      <c r="G42">
        <v>9</v>
      </c>
      <c r="H42" t="s">
        <v>54</v>
      </c>
      <c r="I42">
        <v>1</v>
      </c>
      <c r="J42">
        <v>0.43612639995990299</v>
      </c>
      <c r="K42" t="s">
        <v>51</v>
      </c>
      <c r="L42">
        <v>9</v>
      </c>
      <c r="M42">
        <v>3</v>
      </c>
      <c r="N42">
        <v>39</v>
      </c>
      <c r="O42">
        <v>1</v>
      </c>
      <c r="P42">
        <v>48.240905599959603</v>
      </c>
      <c r="V42">
        <v>48.229167799989199</v>
      </c>
      <c r="W42">
        <v>48.240905599959603</v>
      </c>
      <c r="X42">
        <v>48.724352899997001</v>
      </c>
      <c r="Y42">
        <v>48.724352899997001</v>
      </c>
      <c r="Z42">
        <v>48.724352899997001</v>
      </c>
      <c r="AA42">
        <v>49.174790799966999</v>
      </c>
      <c r="AB42" t="s">
        <v>54</v>
      </c>
      <c r="AC42">
        <v>1</v>
      </c>
      <c r="AD42">
        <v>0.43612639995990299</v>
      </c>
      <c r="AE42" t="s">
        <v>51</v>
      </c>
      <c r="AJ42">
        <v>2</v>
      </c>
      <c r="AK42">
        <v>1</v>
      </c>
      <c r="AL42" t="s">
        <v>43</v>
      </c>
      <c r="AM42" t="s">
        <v>44</v>
      </c>
      <c r="AO42" t="s">
        <v>45</v>
      </c>
      <c r="AP42">
        <v>59.911450877882999</v>
      </c>
      <c r="AQ42" t="s">
        <v>46</v>
      </c>
    </row>
    <row r="43" spans="1:43" x14ac:dyDescent="0.45">
      <c r="AF43">
        <v>49.174975499976398</v>
      </c>
      <c r="AG43">
        <v>49.191017699951701</v>
      </c>
      <c r="AH43">
        <v>50.190936699975197</v>
      </c>
      <c r="AI43">
        <v>50.174518499988999</v>
      </c>
      <c r="AJ43">
        <v>2</v>
      </c>
      <c r="AK43">
        <v>1</v>
      </c>
      <c r="AL43" t="s">
        <v>43</v>
      </c>
      <c r="AM43" t="s">
        <v>44</v>
      </c>
      <c r="AO43" t="s">
        <v>45</v>
      </c>
      <c r="AP43">
        <v>59.911450877882999</v>
      </c>
      <c r="AQ43" t="s">
        <v>46</v>
      </c>
    </row>
    <row r="47" spans="1:43" x14ac:dyDescent="0.45">
      <c r="F47" t="s">
        <v>56</v>
      </c>
      <c r="G47" t="s">
        <v>57</v>
      </c>
    </row>
    <row r="48" spans="1:43" x14ac:dyDescent="0.45">
      <c r="E48" t="s">
        <v>58</v>
      </c>
      <c r="F48">
        <f>AVERAGE(J3:J22)*1000</f>
        <v>638.30227499711282</v>
      </c>
      <c r="G48">
        <f>_xlfn.STDEV.S(J3:J22)*1000</f>
        <v>203.37470949495093</v>
      </c>
    </row>
    <row r="49" spans="5:7" x14ac:dyDescent="0.45">
      <c r="E49" t="s">
        <v>59</v>
      </c>
      <c r="F49">
        <f>AVERAGE(J24:J42)*1000</f>
        <v>752.10415262814558</v>
      </c>
      <c r="G49">
        <f>_xlfn.STDEV.S(J24:J42)*1000</f>
        <v>183.55183415084662</v>
      </c>
    </row>
    <row r="51" spans="5:7" x14ac:dyDescent="0.45">
      <c r="E51" t="s">
        <v>60</v>
      </c>
      <c r="F51">
        <f>(COUNTIF(I3:I42,"1")/COUNT(I3:I42))*100</f>
        <v>97.5</v>
      </c>
    </row>
  </sheetData>
  <sortState xmlns:xlrd2="http://schemas.microsoft.com/office/spreadsheetml/2017/richdata2" ref="A3:P42">
    <sortCondition ref="C3:C4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002_0.1 stroop task_2025-08-26_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2025-08-26T13:14:05Z</dcterms:created>
  <dcterms:modified xsi:type="dcterms:W3CDTF">2025-08-26T14:28:19Z</dcterms:modified>
</cp:coreProperties>
</file>